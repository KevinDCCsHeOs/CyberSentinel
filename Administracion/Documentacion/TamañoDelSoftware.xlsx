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vij\Documents\Escuela\8.Octavo_Semestre\GestionDeProyectosDeSoftware\Unidad3\"/>
    </mc:Choice>
  </mc:AlternateContent>
  <xr:revisionPtr revIDLastSave="0" documentId="13_ncr:1_{839941C1-EB5B-4674-B199-90C02953AAC2}" xr6:coauthVersionLast="47" xr6:coauthVersionMax="47" xr10:uidLastSave="{00000000-0000-0000-0000-000000000000}"/>
  <bookViews>
    <workbookView xWindow="-120" yWindow="-120" windowWidth="29040" windowHeight="18240" xr2:uid="{BFCB9A7C-7A48-433C-87DF-D698EED51569}"/>
  </bookViews>
  <sheets>
    <sheet name="Presentación" sheetId="3" r:id="rId1"/>
    <sheet name="TamañoDelSoftware" sheetId="1" r:id="rId2"/>
    <sheet name="Tabla" sheetId="2" r:id="rId3"/>
    <sheet name="DiagramaDeGantt" sheetId="4" r:id="rId4"/>
    <sheet name="PersonalRequerido"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5" l="1"/>
  <c r="B17" i="5"/>
  <c r="H5" i="5"/>
  <c r="H6" i="5"/>
  <c r="H9" i="5"/>
  <c r="H11" i="5"/>
  <c r="H12" i="5"/>
  <c r="H13" i="5"/>
  <c r="H14" i="5"/>
  <c r="H7" i="5"/>
  <c r="E17" i="5" s="1"/>
  <c r="H15" i="5"/>
  <c r="H10" i="5"/>
  <c r="H8" i="5"/>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2" i="2"/>
</calcChain>
</file>

<file path=xl/sharedStrings.xml><?xml version="1.0" encoding="utf-8"?>
<sst xmlns="http://schemas.openxmlformats.org/spreadsheetml/2006/main" count="431" uniqueCount="316">
  <si>
    <t>ID. Actividad</t>
  </si>
  <si>
    <t>Descripcion Actividad (Entregable)</t>
  </si>
  <si>
    <t>Antecesores</t>
  </si>
  <si>
    <t>Fecha de inicio de la tarea</t>
  </si>
  <si>
    <t>Fecha de finalizacion de la tarea</t>
  </si>
  <si>
    <t>Duración/días</t>
  </si>
  <si>
    <t>1.1.1</t>
  </si>
  <si>
    <t>1.1.1.1</t>
  </si>
  <si>
    <t>1.1.1.2</t>
  </si>
  <si>
    <t>Desarrollo del Sistema CyberSentinel</t>
  </si>
  <si>
    <t>-</t>
  </si>
  <si>
    <t>Gestión del Proyecto</t>
  </si>
  <si>
    <t>Acta constitutiva del proyecto</t>
  </si>
  <si>
    <t>Identificar stakeholders del proyecto</t>
  </si>
  <si>
    <t>Definir objetivo general del sistema CyberSentinel</t>
  </si>
  <si>
    <t>1.1.1.3</t>
  </si>
  <si>
    <t>Definir alcance preliminar del proyecto</t>
  </si>
  <si>
    <t>1.1.1.4</t>
  </si>
  <si>
    <t>Identificar necesidades del negocio en ciberseguridad</t>
  </si>
  <si>
    <t>1.1.1.5</t>
  </si>
  <si>
    <t>Definir criterios de éxito del proyecto</t>
  </si>
  <si>
    <t>1.1.1.6</t>
  </si>
  <si>
    <t>Identificar restricciones del proyecto</t>
  </si>
  <si>
    <t>1.1.1.7</t>
  </si>
  <si>
    <t>Definir supuestos del proyecto</t>
  </si>
  <si>
    <t>1.1.1.8</t>
  </si>
  <si>
    <t>Identificar riesgos iniciales del proyecto</t>
  </si>
  <si>
    <t>1.1.1.9</t>
  </si>
  <si>
    <t>Documentar el acta de constitución</t>
  </si>
  <si>
    <t>1.1.1.10</t>
  </si>
  <si>
    <t>Validar y aprobar el acta con las partes interesadas</t>
  </si>
  <si>
    <t>1.1.2</t>
  </si>
  <si>
    <t>Plan de trabajo</t>
  </si>
  <si>
    <t>1.1.2.1</t>
  </si>
  <si>
    <t>Identificar entregables del proyecto</t>
  </si>
  <si>
    <t>1.1.2.2</t>
  </si>
  <si>
    <t>Clasificar entregables en gestión y desarrollo</t>
  </si>
  <si>
    <t>1.1.2.3</t>
  </si>
  <si>
    <t>Definir estructura jerárquica del proyecto</t>
  </si>
  <si>
    <t>1.1.2.4</t>
  </si>
  <si>
    <t>Descomponer entregables en paquetes de trabajo</t>
  </si>
  <si>
    <t>1.1.2.5</t>
  </si>
  <si>
    <t>Definir actividades necesarias para cada paquete</t>
  </si>
  <si>
    <t>1.1.2.6</t>
  </si>
  <si>
    <t>Establecer dependencias entre actividades</t>
  </si>
  <si>
    <t>1.1.2.7</t>
  </si>
  <si>
    <t>Asignar codificación estructurada (WBS)</t>
  </si>
  <si>
    <t>1.1.2.8</t>
  </si>
  <si>
    <t>Validar consistencia de la EDT</t>
  </si>
  <si>
    <t>1.1.2.9</t>
  </si>
  <si>
    <t>Documentar el plan de trabajo</t>
  </si>
  <si>
    <t>1.1.2.10</t>
  </si>
  <si>
    <t>Revisar y aprobar la EDT con el equipo</t>
  </si>
  <si>
    <t>1.1.3</t>
  </si>
  <si>
    <t>Establecimiento del Modelo de Calidad</t>
  </si>
  <si>
    <t>1.1.3.1</t>
  </si>
  <si>
    <t>Definir estándares de calidad del software</t>
  </si>
  <si>
    <t>1.1.3.2</t>
  </si>
  <si>
    <t>Establecer criterios de aceptación de funcionalidades</t>
  </si>
  <si>
    <t>1.1.3.3</t>
  </si>
  <si>
    <t>Definir métricas de calidad</t>
  </si>
  <si>
    <t>1.1.3.4</t>
  </si>
  <si>
    <t>Definir proceso de revisión de código</t>
  </si>
  <si>
    <t>1.1.3.5</t>
  </si>
  <si>
    <t>Definir estándares de documentación técnica</t>
  </si>
  <si>
    <t>1.1.3.6</t>
  </si>
  <si>
    <t>Definir proceso de control de versiones</t>
  </si>
  <si>
    <t>1.1.4</t>
  </si>
  <si>
    <t>Diagrama de Gantt</t>
  </si>
  <si>
    <t>1.1.4.1</t>
  </si>
  <si>
    <t>Identificar actividades del proyecto</t>
  </si>
  <si>
    <t>1.1.4.2</t>
  </si>
  <si>
    <t>Estimar duración de cada actividad</t>
  </si>
  <si>
    <t>1.1.4.3</t>
  </si>
  <si>
    <t>Identificar dependencias entre tareas</t>
  </si>
  <si>
    <t>1.1.4.4</t>
  </si>
  <si>
    <t>Definir hitos del proyecto</t>
  </si>
  <si>
    <t>1.1.4.5</t>
  </si>
  <si>
    <t>Crear cronograma inicial</t>
  </si>
  <si>
    <t>1.1.4.6</t>
  </si>
  <si>
    <t>Validar cronograma con el equipo</t>
  </si>
  <si>
    <t>1.1.5</t>
  </si>
  <si>
    <t>Plan de costos</t>
  </si>
  <si>
    <t>1.1.5.1</t>
  </si>
  <si>
    <t>Identificar recursos necesarios para el desarrollo</t>
  </si>
  <si>
    <t>1.1.5.2</t>
  </si>
  <si>
    <t>Estimar costos de infraestructura tecnológica</t>
  </si>
  <si>
    <t>1.1.5.3</t>
  </si>
  <si>
    <t>Estimar costos de desarrollo del sistema</t>
  </si>
  <si>
    <t>1.1.5.4</t>
  </si>
  <si>
    <t>Estimar costos de pruebas y despliegue</t>
  </si>
  <si>
    <t>1.1.5.5</t>
  </si>
  <si>
    <t>Definir presupuesto total del proyecto</t>
  </si>
  <si>
    <t>1.1.6</t>
  </si>
  <si>
    <t>Estimación de Personal Requerido</t>
  </si>
  <si>
    <t>1.1.6.1</t>
  </si>
  <si>
    <t>Identificar roles necesarios para el proyecto</t>
  </si>
  <si>
    <t>1.1.6.2</t>
  </si>
  <si>
    <t>Definir responsabilidades de cada rol</t>
  </si>
  <si>
    <t>1.1.6.3</t>
  </si>
  <si>
    <t>Estimar carga de trabajo por rol</t>
  </si>
  <si>
    <t>1.1.6.4</t>
  </si>
  <si>
    <t>Asignar responsabilidades dentro del equipo</t>
  </si>
  <si>
    <t>1.1.6.5</t>
  </si>
  <si>
    <t>Validar disponibilidad de recursos humanos</t>
  </si>
  <si>
    <t>1.1.7</t>
  </si>
  <si>
    <t>Análisis de Riesgos</t>
  </si>
  <si>
    <t>1.1.7.1</t>
  </si>
  <si>
    <t>Identificar riesgos técnicos</t>
  </si>
  <si>
    <t>1.1.7.2</t>
  </si>
  <si>
    <t>Identificar riesgos organizacionales</t>
  </si>
  <si>
    <t>1.1.7.3</t>
  </si>
  <si>
    <t>Evaluar probabilidad e impacto de cada riesgo</t>
  </si>
  <si>
    <t>1.1.7.4</t>
  </si>
  <si>
    <t>Definir estrategias de mitigación</t>
  </si>
  <si>
    <t>1.1.7.5</t>
  </si>
  <si>
    <t>Documentar plan de gestión de riesgos</t>
  </si>
  <si>
    <t>1.1.8</t>
  </si>
  <si>
    <t>Contrato del proyecto</t>
  </si>
  <si>
    <t>1.1.8.1</t>
  </si>
  <si>
    <t>Definir alcance del acuerdo entre las partes</t>
  </si>
  <si>
    <t>1.1.8.2</t>
  </si>
  <si>
    <t>Establecer responsabilidades entre las partes</t>
  </si>
  <si>
    <t>1.1.8.3</t>
  </si>
  <si>
    <t>Definir condiciones de aceptación del sistema</t>
  </si>
  <si>
    <t>1.1.8.4</t>
  </si>
  <si>
    <t>Formalizar acuerdo entre las partes interesadas</t>
  </si>
  <si>
    <t>Desarrollo del Proyecto</t>
  </si>
  <si>
    <t>1.2.1</t>
  </si>
  <si>
    <t>Product Backlog del Sistema</t>
  </si>
  <si>
    <t>1.2.1.1</t>
  </si>
  <si>
    <t>Identificar funcionalidades principales del sistema</t>
  </si>
  <si>
    <t>1.2.1.2</t>
  </si>
  <si>
    <t>Definir historias de usuario</t>
  </si>
  <si>
    <t>1.2.1.3</t>
  </si>
  <si>
    <t>Definir criterios de aceptación</t>
  </si>
  <si>
    <t>1.2.1.4</t>
  </si>
  <si>
    <t>Priorizar funcionalidades según valor de negocio</t>
  </si>
  <si>
    <t>1.2.1.5</t>
  </si>
  <si>
    <t>Estimar esfuerzo de cada historia de usuario</t>
  </si>
  <si>
    <t>1.2.1.6</t>
  </si>
  <si>
    <t>Crear backlog inicial del producto</t>
  </si>
  <si>
    <t>1.2.2</t>
  </si>
  <si>
    <t>Planeación de Sprints</t>
  </si>
  <si>
    <t>1.2.2.1</t>
  </si>
  <si>
    <t>Analizar el Product Backlog</t>
  </si>
  <si>
    <t>1.2.2.2</t>
  </si>
  <si>
    <t>Estimar historias de usuario</t>
  </si>
  <si>
    <t>1.2.2.3</t>
  </si>
  <si>
    <t>Definir velocidad del equipo</t>
  </si>
  <si>
    <t>1.2.2.4</t>
  </si>
  <si>
    <t>Determinar duración de los sprints</t>
  </si>
  <si>
    <t>1.2.2.5</t>
  </si>
  <si>
    <t>Priorizar historias de usuario por valor de negocio</t>
  </si>
  <si>
    <t>1.2.2.6</t>
  </si>
  <si>
    <t>Seleccionar historias para el sprint</t>
  </si>
  <si>
    <t>1.2.2.7</t>
  </si>
  <si>
    <t>Definir objetivos del sprint</t>
  </si>
  <si>
    <t>1.2.2.8</t>
  </si>
  <si>
    <t>Repetir proceso para siguientes sprints</t>
  </si>
  <si>
    <t>1.2.2.9</t>
  </si>
  <si>
    <t>Ajustar planificación según avance del proyecto</t>
  </si>
  <si>
    <t>1.2.2.10</t>
  </si>
  <si>
    <t>Documentar roadmap de sprints</t>
  </si>
  <si>
    <t>1.2.3</t>
  </si>
  <si>
    <t>Sprint Backlog</t>
  </si>
  <si>
    <t>1.2.3.1</t>
  </si>
  <si>
    <t>Seleccionar historias de usuario del sprint</t>
  </si>
  <si>
    <t>1.2.3.2</t>
  </si>
  <si>
    <t>Descomponer historias en tareas técnicas</t>
  </si>
  <si>
    <t>1.2.3.3</t>
  </si>
  <si>
    <t>Asignar responsables a tareas</t>
  </si>
  <si>
    <t>1.2.3.4</t>
  </si>
  <si>
    <t>Estimar duración de tareas</t>
  </si>
  <si>
    <t>1.2.3.5</t>
  </si>
  <si>
    <t>Definir entregables del sprint</t>
  </si>
  <si>
    <t>1.2.3.6</t>
  </si>
  <si>
    <t>Actualizar backlog del sprint durante la ejecución</t>
  </si>
  <si>
    <t>1.2.4</t>
  </si>
  <si>
    <t>Incremento del Producto</t>
  </si>
  <si>
    <t>1.2.4.1</t>
  </si>
  <si>
    <t>Desarrollar funcionalidades del sprint</t>
  </si>
  <si>
    <t>1.2.4.2</t>
  </si>
  <si>
    <t>Integrar componentes desarrollados</t>
  </si>
  <si>
    <t>1.2.4.3</t>
  </si>
  <si>
    <t>Validar cumplimiento de criterios de aceptación</t>
  </si>
  <si>
    <t>1.2.4.4</t>
  </si>
  <si>
    <t>Realizar pruebas funcionales</t>
  </si>
  <si>
    <t>1.2.4.5</t>
  </si>
  <si>
    <t>Generar incremento funcional del sistema</t>
  </si>
  <si>
    <t>1.2.5</t>
  </si>
  <si>
    <t>Manual de Usuario</t>
  </si>
  <si>
    <t>1.2.5.1</t>
  </si>
  <si>
    <t>Documentar funcionalidades del sistema</t>
  </si>
  <si>
    <t>1.2.5.2</t>
  </si>
  <si>
    <t>Documentar configuración del sistema</t>
  </si>
  <si>
    <t>1.2.5.3</t>
  </si>
  <si>
    <t>Documentar uso del dashboard</t>
  </si>
  <si>
    <t>1.2.5.4</t>
  </si>
  <si>
    <t>Crear guía paso a paso de uso</t>
  </si>
  <si>
    <t>1.2.5.5</t>
  </si>
  <si>
    <t>Revisar documentación con usuarios</t>
  </si>
  <si>
    <t>1.2.6</t>
  </si>
  <si>
    <t>Manual Técnico</t>
  </si>
  <si>
    <t>1.2.6.1</t>
  </si>
  <si>
    <t>Documentar arquitectura del sistema</t>
  </si>
  <si>
    <t>1.2.6.2</t>
  </si>
  <si>
    <t>Documentar estructura de la base de datos</t>
  </si>
  <si>
    <t>1.2.6.3</t>
  </si>
  <si>
    <t>Documentar API y módulos del sistema</t>
  </si>
  <si>
    <t>1.2.6.4</t>
  </si>
  <si>
    <t>Documentar proceso de instalación</t>
  </si>
  <si>
    <t>1.2.6.5</t>
  </si>
  <si>
    <t>Documentar mantenimiento del sistema</t>
  </si>
  <si>
    <t>Determinación y justificación del tamaño del software (Determinación de meses)</t>
  </si>
  <si>
    <t>Métrica a utilizar: COSMIC Function Points (CFP)</t>
  </si>
  <si>
    <t>El tamaño del software CyberSentinel se determinará utilizando la métrica COSMIC Function Points (CFP), la cual es un estándar internacional diseñado para medir el tamaño funcional del software basado en los movimientos de datos dentro del sistema.</t>
  </si>
  <si>
    <t>La elección de COSMIC se justifica debido a que el proyecto consiste en una plataforma moderna orientada a la detección de eventos de ciberseguridad, la cual implica procesamiento de datos en tiempo real, integración de múltiples fuentes de información y generación de respuestas dinámicas como alertas y reportes.</t>
  </si>
  <si>
    <t>Esta métrica se basa en la identificación de movimientos de datos, los cuales se clasifican en cuatro tipos:</t>
  </si>
  <si>
    <t>Entrada (Entry - E): Datos que ingresan al sistema</t>
  </si>
  <si>
    <t>Salida (Exit - X): Datos que salen del sistema</t>
  </si>
  <si>
    <t>Lectura (Read - R): Datos consultados desde almacenamiento</t>
  </si>
  <si>
    <t>Escritura (Write - W): Datos almacenados en el sistema</t>
  </si>
  <si>
    <t>Cada uno de estos movimientos equivale a 1 punto COSMIC, lo que permite calcular el tamaño funcional del sistema de manera objetiva.</t>
  </si>
  <si>
    <t>El tamaño funcional del sistema CyberSentinel se determina a partir de la identificación de los principales procesos funcionales y los movimientos de datos asociados a cada uno de ellos.</t>
  </si>
  <si>
    <t>Clasificación del tamaño del software</t>
  </si>
  <si>
    <t>El sistema CyberSentinel cuenta con más de 80 funcionalidades principales, incluyendo módulos de recolección de logs, procesamiento de eventos, detección de amenazas, generación de alertas, visualización en dashboard, gestión de usuarios y generación de reportes.</t>
  </si>
  <si>
    <t>Por lo tanto, CyberSentinel se clasifica como un proyecto de tamaño grande.</t>
  </si>
  <si>
    <t>Módulo</t>
  </si>
  <si>
    <t>E</t>
  </si>
  <si>
    <t>X</t>
  </si>
  <si>
    <t>R</t>
  </si>
  <si>
    <t>W</t>
  </si>
  <si>
    <t>Total CFP</t>
  </si>
  <si>
    <t>Recolección de logs</t>
  </si>
  <si>
    <t>Procesamiento de eventos</t>
  </si>
  <si>
    <t>Motor de detección</t>
  </si>
  <si>
    <t>Sistema de alertas</t>
  </si>
  <si>
    <t>Dashboard</t>
  </si>
  <si>
    <t>Usuarios y seguridad</t>
  </si>
  <si>
    <t>Reportes</t>
  </si>
  <si>
    <t>TOTAL</t>
  </si>
  <si>
    <t>Interpretación del tamaño del software</t>
  </si>
  <si>
    <t>Productividad estimada: 10 a 15 COSMIC Function Points por mes por desarrollador.</t>
  </si>
  <si>
    <t>Para efectos de estimación se utiliza un promedio de 12 CFP por mes.</t>
  </si>
  <si>
    <t>Tiempo estimado del proyecto: 6 a 7 meses</t>
  </si>
  <si>
    <t>De acuerdo con criterios de la industria, un sistema con más de 50 funcionalidades se clasifica como un proyecto de software de gran tamaño, debido a su complejidad, múltiples módulos, integración con sistemas externos y manejo de grandes volúmenes de datos.</t>
  </si>
  <si>
    <t>INSTITUTO TECNOLOGICO DE ORIZABA</t>
  </si>
  <si>
    <t>Hernández Rodriguez Oscar Ariel</t>
  </si>
  <si>
    <t>Hernández Heredia Kevin</t>
  </si>
  <si>
    <t>Santiago Mendoza Abraham</t>
  </si>
  <si>
    <t>Proyecto: CyberSentinel</t>
  </si>
  <si>
    <t xml:space="preserve">Docente: </t>
  </si>
  <si>
    <t>Nava Arteaga Concepcion</t>
  </si>
  <si>
    <t>MATERIA:</t>
  </si>
  <si>
    <t>Gestion de proyectos de software</t>
  </si>
  <si>
    <t>Equipo 10:</t>
  </si>
  <si>
    <t>Personal Requerido</t>
  </si>
  <si>
    <t>Funciones de cada rol</t>
  </si>
  <si>
    <t>Especificaciones generales de lo que desempeñara cada rol</t>
  </si>
  <si>
    <t>Cuanto se le va a pagar a cada uno con base en el reporte de CodersLink</t>
  </si>
  <si>
    <t>(Determinando si se necesitan en cada uno de los puestos un senior o junior)</t>
  </si>
  <si>
    <t>Tamaño del software: Grande</t>
  </si>
  <si>
    <t>Numero de Funcionalidades: 85</t>
  </si>
  <si>
    <t>Meses Planeados: 6.6</t>
  </si>
  <si>
    <t>Num. Persona(s)</t>
  </si>
  <si>
    <t>Rol</t>
  </si>
  <si>
    <t>Funciones</t>
  </si>
  <si>
    <t>Sueldo Mensual</t>
  </si>
  <si>
    <t>Dedicado</t>
  </si>
  <si>
    <t>Horas requeridas</t>
  </si>
  <si>
    <t>Project Manager</t>
  </si>
  <si>
    <t>Gestión del proyecto, coordinación, seguimiento</t>
  </si>
  <si>
    <t>Product Owner</t>
  </si>
  <si>
    <t>Definir requisitos y priorizar backlog</t>
  </si>
  <si>
    <t>Levantamiento de requisitos</t>
  </si>
  <si>
    <t>Diseño de arquitectura</t>
  </si>
  <si>
    <t>Backend Dev</t>
  </si>
  <si>
    <t>Lógica del sistema y APIs</t>
  </si>
  <si>
    <t>Frontend Dev</t>
  </si>
  <si>
    <t>Interfaz y experiencia de usuario</t>
  </si>
  <si>
    <t>Full Stack</t>
  </si>
  <si>
    <t>Apoyo general desarrollo</t>
  </si>
  <si>
    <t>QA Tester</t>
  </si>
  <si>
    <t>Pruebas y validación</t>
  </si>
  <si>
    <t>DevOps</t>
  </si>
  <si>
    <t>CI/CD, despliegues</t>
  </si>
  <si>
    <t>Ciberseguridad</t>
  </si>
  <si>
    <t>Seguridad del sistema</t>
  </si>
  <si>
    <t>UX/UI</t>
  </si>
  <si>
    <t>Diseño de interfaz</t>
  </si>
  <si>
    <t>Si</t>
  </si>
  <si>
    <t>No</t>
  </si>
  <si>
    <t>Total del personal:</t>
  </si>
  <si>
    <t>Roles Senior</t>
  </si>
  <si>
    <t>Arquitecto de Software</t>
  </si>
  <si>
    <t>Especialista en Ciberseguridad</t>
  </si>
  <si>
    <t>Roles Semi-Senior</t>
  </si>
  <si>
    <t>Backend Developers</t>
  </si>
  <si>
    <t>Frontend Developers</t>
  </si>
  <si>
    <t>DevOps Engineer</t>
  </si>
  <si>
    <t>Roles Junior</t>
  </si>
  <si>
    <t>Analista de Requisitos</t>
  </si>
  <si>
    <t>UX/UI Designer</t>
  </si>
  <si>
    <t>Full Stack Developer</t>
  </si>
  <si>
    <t>Arquitecto de software</t>
  </si>
  <si>
    <t>Costos Totales</t>
  </si>
  <si>
    <t>Personal Requerido:</t>
  </si>
  <si>
    <t>Costo aproximado por persona (MXN):</t>
  </si>
  <si>
    <t>Liga al Gantt en Microsoft Project:</t>
  </si>
  <si>
    <t>https://drive.google.com/file/d/1o6mk1F56CWeSyoK801tl2dq6R5Xc0Zng/view?usp=sharing</t>
  </si>
  <si>
    <t>Liga al Gantt en ClickUp:</t>
  </si>
  <si>
    <t>https://sharing.clickup.com/90141157395/g/h/2kyd9u0k-754/d158492e7409dda</t>
  </si>
  <si>
    <t>https://github.com/users/KevinDCCsHeOs/projects/2/views/1</t>
  </si>
  <si>
    <t>Liga al repositorio de GitHub con el Tablero Kanban:</t>
  </si>
  <si>
    <t>(En la pestaña Backlog se encuentra el Tablero Kanban, en la pestaña de Roadmap funciona como un diagrama de Gantt simple pero ayuda a llevar cierto nivel de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</si>
</sst>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Aptos Narrow"/>
      <family val="2"/>
      <scheme val="minor"/>
    </font>
    <font>
      <b/>
      <sz val="11"/>
      <color theme="1"/>
      <name val="Aptos Narrow"/>
      <family val="2"/>
      <scheme val="minor"/>
    </font>
    <font>
      <b/>
      <sz val="16"/>
      <color theme="1"/>
      <name val="Aptos Narrow"/>
      <family val="2"/>
      <scheme val="minor"/>
    </font>
    <font>
      <sz val="16"/>
      <color theme="1"/>
      <name val="Aptos Narrow"/>
      <family val="2"/>
      <scheme val="minor"/>
    </font>
    <font>
      <b/>
      <sz val="24"/>
      <color theme="1"/>
      <name val="Aptos Narrow"/>
      <family val="2"/>
      <scheme val="minor"/>
    </font>
    <font>
      <b/>
      <sz val="22"/>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alignment horizontal="left" vertical="center" indent="1"/>
    </xf>
    <xf numFmtId="49" fontId="0" fillId="0" borderId="0" xfId="0" applyNumberFormat="1"/>
    <xf numFmtId="2" fontId="0" fillId="0" borderId="0" xfId="0" applyNumberFormat="1"/>
    <xf numFmtId="0" fontId="1" fillId="0" borderId="0" xfId="0" applyFont="1"/>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wrapText="1"/>
    </xf>
    <xf numFmtId="0" fontId="2" fillId="0" borderId="0" xfId="0" applyFont="1"/>
    <xf numFmtId="0" fontId="0" fillId="0" borderId="0" xfId="0" applyAlignment="1">
      <alignment vertical="center" wrapText="1"/>
    </xf>
    <xf numFmtId="0" fontId="3" fillId="0" borderId="0" xfId="0" applyFont="1"/>
    <xf numFmtId="0" fontId="0" fillId="0" borderId="0" xfId="0" applyAlignment="1">
      <alignment horizontal="center" vertical="center" wrapText="1"/>
    </xf>
    <xf numFmtId="14" fontId="0" fillId="0" borderId="0" xfId="0" applyNumberFormat="1"/>
    <xf numFmtId="3" fontId="0" fillId="0" borderId="0" xfId="0" applyNumberFormat="1"/>
    <xf numFmtId="0" fontId="0" fillId="0" borderId="0" xfId="0" applyAlignment="1">
      <alignment horizontal="center"/>
    </xf>
    <xf numFmtId="3" fontId="0" fillId="0" borderId="0" xfId="0" applyNumberFormat="1" applyAlignment="1">
      <alignment horizontal="center" vertical="center" wrapText="1"/>
    </xf>
    <xf numFmtId="9" fontId="0" fillId="0" borderId="0" xfId="0" applyNumberFormat="1" applyAlignment="1">
      <alignment horizontal="center" vertical="center" wrapText="1"/>
    </xf>
    <xf numFmtId="0" fontId="6" fillId="0" borderId="0" xfId="0" applyFont="1" applyAlignment="1">
      <alignment vertical="center"/>
    </xf>
    <xf numFmtId="3" fontId="0" fillId="0" borderId="0" xfId="0" applyNumberFormat="1" applyAlignment="1">
      <alignment horizontal="center" vertical="center"/>
    </xf>
    <xf numFmtId="164" fontId="0" fillId="0" borderId="0" xfId="0" applyNumberFormat="1"/>
    <xf numFmtId="0" fontId="4"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5"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vertical="center" wrapText="1"/>
    </xf>
    <xf numFmtId="0" fontId="1" fillId="0" borderId="0" xfId="0" applyFont="1" applyAlignment="1">
      <alignment horizontal="center"/>
    </xf>
    <xf numFmtId="0" fontId="2" fillId="0" borderId="0" xfId="0" applyFont="1" applyAlignment="1">
      <alignment horizontal="center" wrapText="1"/>
    </xf>
    <xf numFmtId="0" fontId="0" fillId="0" borderId="0" xfId="0" applyAlignment="1">
      <alignment horizontal="left" vertical="center" wrapText="1"/>
    </xf>
  </cellXfs>
  <cellStyles count="1">
    <cellStyle name="Normal" xfId="0" builtinId="0"/>
  </cellStyles>
  <dxfs count="19">
    <dxf>
      <numFmt numFmtId="2" formatCode="0.00"/>
    </dxf>
    <dxf>
      <numFmt numFmtId="19" formatCode="dd/mm/yyyy"/>
    </dxf>
    <dxf>
      <numFmt numFmtId="19" formatCode="dd/mm/yyyy"/>
    </dxf>
    <dxf>
      <numFmt numFmtId="30" formatCode="@"/>
    </dxf>
    <dxf>
      <numFmt numFmtId="30" formatCode="@"/>
    </dxf>
    <dxf>
      <alignment horizontal="general" vertical="bottom" textRotation="0" wrapText="1"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3E22E9-6972-4E84-AC2C-7DB3A9172D39}" name="Tabla2" displayName="Tabla2" ref="A38:F46" totalsRowShown="0">
  <autoFilter ref="A38:F46" xr:uid="{253E22E9-6972-4E84-AC2C-7DB3A9172D39}"/>
  <tableColumns count="6">
    <tableColumn id="1" xr3:uid="{E7DD6FA8-160E-4EAF-B1F2-529A3E89B2D5}" name="Módulo"/>
    <tableColumn id="2" xr3:uid="{A9351100-3AB3-4740-A0B9-18A92D1912B7}" name="E" dataDxfId="10"/>
    <tableColumn id="3" xr3:uid="{BCADB2DF-2826-4F69-8AAC-D530C732E9E8}" name="X" dataDxfId="9"/>
    <tableColumn id="4" xr3:uid="{F2749520-B051-48BE-B189-EE4D204E8A59}" name="R" dataDxfId="8"/>
    <tableColumn id="5" xr3:uid="{5F0A2FEB-8A8D-4716-AE34-059FF6A7F75B}" name="W" dataDxfId="7"/>
    <tableColumn id="6" xr3:uid="{2C9074FE-91E7-4862-8D5F-55DADA8B8794}" name="Total CFP"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B62D65-99A8-44D1-A5C7-670F3053F003}" name="Tabla1" displayName="Tabla1" ref="A1:F106" totalsRowShown="0" headerRowDxfId="5">
  <autoFilter ref="A1:F106" xr:uid="{91B62D65-99A8-44D1-A5C7-670F3053F003}"/>
  <tableColumns count="6">
    <tableColumn id="1" xr3:uid="{50D7EEFC-1BC4-46DB-ABDA-122BD6EF9D45}" name="ID. Actividad" dataDxfId="4"/>
    <tableColumn id="2" xr3:uid="{8C075BCA-CC13-4C12-9D83-4CB4DE1A3F87}" name="Descripcion Actividad (Entregable)"/>
    <tableColumn id="3" xr3:uid="{B36CB029-01F9-4A90-A34B-825836564765}" name="Antecesores" dataDxfId="3"/>
    <tableColumn id="4" xr3:uid="{27E165CD-438B-41CC-9341-A3DBD081A68C}" name="Fecha de inicio de la tarea" dataDxfId="2"/>
    <tableColumn id="5" xr3:uid="{F3714EB0-3BCE-43DD-AEA5-AD98DF2B8D4A}" name="Fecha de finalizacion de la tarea" dataDxfId="1"/>
    <tableColumn id="6" xr3:uid="{DE194FAC-AD07-4D23-8E97-B12BD3CFEEDC}" name="Duración/días" dataDxfId="0">
      <calculatedColumnFormula>_xlfn.DAYS(Tabla1[[#This Row],[Fecha de inicio de la tarea]],Tabla1[[#This Row],[Fecha de finalizacion de la tarea]])*-1</calculatedColumnFormula>
    </tableColumn>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3E3459-9BF9-49DD-ACD1-116793EF3F2D}" name="Tabla5" displayName="Tabla5" ref="A4:F15" totalsRowShown="0" headerRowDxfId="18" dataDxfId="17">
  <autoFilter ref="A4:F15" xr:uid="{283E3459-9BF9-49DD-ACD1-116793EF3F2D}"/>
  <tableColumns count="6">
    <tableColumn id="1" xr3:uid="{3B81B3C4-5F6E-4A9F-AE7B-63BB7DD7A59C}" name="Num. Persona(s)" dataDxfId="16"/>
    <tableColumn id="2" xr3:uid="{4A9CD543-46B2-4BE5-834B-8570ADBD95B1}" name="Rol" dataDxfId="15"/>
    <tableColumn id="3" xr3:uid="{A8479ECA-E8EB-4EDD-9D67-6ECE901CFDB8}" name="Funciones" dataDxfId="14"/>
    <tableColumn id="4" xr3:uid="{F0F7D5B3-E1E3-40E5-93AB-0B65658EDCDB}" name="Sueldo Mensual" dataDxfId="13"/>
    <tableColumn id="5" xr3:uid="{4531CB28-9EAB-4A0D-B20E-73C1A82D20EA}" name="Dedicado" dataDxfId="12"/>
    <tableColumn id="6" xr3:uid="{84C716B4-FF9A-47A4-AE95-E530B51FE616}" name="Horas requeridas" dataDxfId="11"/>
  </tableColumns>
  <tableStyleInfo name="TableStyleMedium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3D54-0E5B-4D4D-AA55-AE0B48CCDAD5}">
  <dimension ref="A1:G16"/>
  <sheetViews>
    <sheetView tabSelected="1" zoomScaleNormal="100" workbookViewId="0">
      <selection activeCell="A19" sqref="A19"/>
    </sheetView>
  </sheetViews>
  <sheetFormatPr baseColWidth="10" defaultRowHeight="15" x14ac:dyDescent="0.25"/>
  <sheetData>
    <row r="1" spans="1:7" x14ac:dyDescent="0.25">
      <c r="A1" s="21" t="s">
        <v>247</v>
      </c>
      <c r="B1" s="21"/>
      <c r="C1" s="21"/>
      <c r="D1" s="21"/>
      <c r="E1" s="21"/>
      <c r="F1" s="21"/>
      <c r="G1" s="21"/>
    </row>
    <row r="2" spans="1:7" x14ac:dyDescent="0.25">
      <c r="A2" s="21"/>
      <c r="B2" s="21"/>
      <c r="C2" s="21"/>
      <c r="D2" s="21"/>
      <c r="E2" s="21"/>
      <c r="F2" s="21"/>
      <c r="G2" s="21"/>
    </row>
    <row r="4" spans="1:7" x14ac:dyDescent="0.25">
      <c r="A4" s="24" t="s">
        <v>251</v>
      </c>
      <c r="B4" s="24"/>
      <c r="C4" s="24"/>
      <c r="D4" s="24"/>
      <c r="E4" s="24"/>
      <c r="F4" s="24"/>
      <c r="G4" s="24"/>
    </row>
    <row r="5" spans="1:7" x14ac:dyDescent="0.25">
      <c r="A5" s="24"/>
      <c r="B5" s="24"/>
      <c r="C5" s="24"/>
      <c r="D5" s="24"/>
      <c r="E5" s="24"/>
      <c r="F5" s="24"/>
      <c r="G5" s="24"/>
    </row>
    <row r="7" spans="1:7" ht="21" x14ac:dyDescent="0.35">
      <c r="A7" s="22" t="s">
        <v>254</v>
      </c>
      <c r="B7" s="23"/>
      <c r="C7" s="23"/>
      <c r="D7" s="23"/>
      <c r="E7" s="23"/>
      <c r="F7" s="23"/>
      <c r="G7" s="23"/>
    </row>
    <row r="8" spans="1:7" ht="21" x14ac:dyDescent="0.35">
      <c r="A8" s="23" t="s">
        <v>255</v>
      </c>
      <c r="B8" s="23"/>
      <c r="C8" s="23"/>
      <c r="D8" s="23"/>
      <c r="E8" s="23"/>
      <c r="F8" s="23"/>
      <c r="G8" s="23"/>
    </row>
    <row r="9" spans="1:7" ht="21" x14ac:dyDescent="0.35">
      <c r="A9" s="11"/>
      <c r="B9" s="11"/>
      <c r="C9" s="11"/>
      <c r="D9" s="11"/>
      <c r="E9" s="11"/>
      <c r="F9" s="11"/>
      <c r="G9" s="11"/>
    </row>
    <row r="10" spans="1:7" ht="21" x14ac:dyDescent="0.35">
      <c r="A10" s="22" t="s">
        <v>256</v>
      </c>
      <c r="B10" s="22"/>
      <c r="C10" s="22"/>
      <c r="D10" s="22"/>
      <c r="E10" s="22"/>
      <c r="F10" s="22"/>
      <c r="G10" s="22"/>
    </row>
    <row r="11" spans="1:7" ht="21" x14ac:dyDescent="0.35">
      <c r="A11" s="23" t="s">
        <v>249</v>
      </c>
      <c r="B11" s="23"/>
      <c r="C11" s="23"/>
      <c r="D11" s="23"/>
      <c r="E11" s="23"/>
      <c r="F11" s="23"/>
      <c r="G11" s="23"/>
    </row>
    <row r="12" spans="1:7" ht="21" x14ac:dyDescent="0.35">
      <c r="A12" s="23" t="s">
        <v>248</v>
      </c>
      <c r="B12" s="23"/>
      <c r="C12" s="23"/>
      <c r="D12" s="23"/>
      <c r="E12" s="23"/>
      <c r="F12" s="23"/>
      <c r="G12" s="23"/>
    </row>
    <row r="13" spans="1:7" ht="21" x14ac:dyDescent="0.35">
      <c r="A13" s="23" t="s">
        <v>250</v>
      </c>
      <c r="B13" s="23"/>
      <c r="C13" s="23"/>
      <c r="D13" s="23"/>
      <c r="E13" s="23"/>
      <c r="F13" s="23"/>
      <c r="G13" s="23"/>
    </row>
    <row r="14" spans="1:7" ht="21" x14ac:dyDescent="0.35">
      <c r="A14" s="11"/>
      <c r="B14" s="11"/>
      <c r="C14" s="11"/>
      <c r="D14" s="11"/>
      <c r="E14" s="11"/>
      <c r="F14" s="11"/>
      <c r="G14" s="11"/>
    </row>
    <row r="15" spans="1:7" ht="21" x14ac:dyDescent="0.35">
      <c r="A15" s="22" t="s">
        <v>252</v>
      </c>
      <c r="B15" s="22"/>
      <c r="C15" s="22"/>
      <c r="D15" s="22"/>
      <c r="E15" s="22"/>
      <c r="F15" s="22"/>
      <c r="G15" s="22"/>
    </row>
    <row r="16" spans="1:7" ht="21" x14ac:dyDescent="0.35">
      <c r="A16" s="23" t="s">
        <v>253</v>
      </c>
      <c r="B16" s="23"/>
      <c r="C16" s="23"/>
      <c r="D16" s="23"/>
      <c r="E16" s="23"/>
      <c r="F16" s="23"/>
      <c r="G16" s="23"/>
    </row>
  </sheetData>
  <mergeCells count="10">
    <mergeCell ref="A13:G13"/>
    <mergeCell ref="A15:G15"/>
    <mergeCell ref="A16:G16"/>
    <mergeCell ref="A8:G8"/>
    <mergeCell ref="A4:G5"/>
    <mergeCell ref="A1:G2"/>
    <mergeCell ref="A7:G7"/>
    <mergeCell ref="A10:G10"/>
    <mergeCell ref="A11:G11"/>
    <mergeCell ref="A12:G12"/>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30857-DB4C-47BA-A8CC-CF6D2CC7DD6B}">
  <dimension ref="A1:G57"/>
  <sheetViews>
    <sheetView topLeftCell="A23" zoomScaleNormal="100" workbookViewId="0">
      <selection activeCell="A52" sqref="A52"/>
    </sheetView>
  </sheetViews>
  <sheetFormatPr baseColWidth="10" defaultRowHeight="15" x14ac:dyDescent="0.25"/>
  <cols>
    <col min="1" max="1" width="19.7109375" customWidth="1"/>
    <col min="2" max="2" width="18" customWidth="1"/>
    <col min="3" max="3" width="18.7109375" customWidth="1"/>
    <col min="4" max="4" width="18.140625" customWidth="1"/>
    <col min="6" max="6" width="11.5703125" customWidth="1"/>
  </cols>
  <sheetData>
    <row r="1" spans="1:7" ht="40.5" customHeight="1" x14ac:dyDescent="0.35">
      <c r="A1" s="28" t="s">
        <v>214</v>
      </c>
      <c r="B1" s="28"/>
      <c r="C1" s="28"/>
      <c r="D1" s="28"/>
      <c r="E1" s="28"/>
      <c r="F1" s="9"/>
      <c r="G1" s="9"/>
    </row>
    <row r="3" spans="1:7" x14ac:dyDescent="0.25">
      <c r="A3" s="27" t="s">
        <v>215</v>
      </c>
      <c r="B3" s="27"/>
      <c r="C3" s="27"/>
    </row>
    <row r="4" spans="1:7" ht="15" customHeight="1" x14ac:dyDescent="0.25">
      <c r="A4" s="25" t="s">
        <v>216</v>
      </c>
      <c r="B4" s="25"/>
      <c r="C4" s="25"/>
      <c r="D4" s="25"/>
      <c r="E4" s="25"/>
      <c r="F4" s="1"/>
      <c r="G4" s="1"/>
    </row>
    <row r="5" spans="1:7" ht="15" customHeight="1" x14ac:dyDescent="0.25">
      <c r="A5" s="25"/>
      <c r="B5" s="25"/>
      <c r="C5" s="25"/>
      <c r="D5" s="25"/>
      <c r="E5" s="25"/>
      <c r="F5" s="1"/>
      <c r="G5" s="1"/>
    </row>
    <row r="6" spans="1:7" x14ac:dyDescent="0.25">
      <c r="A6" s="25"/>
      <c r="B6" s="25"/>
      <c r="C6" s="25"/>
      <c r="D6" s="25"/>
      <c r="E6" s="25"/>
      <c r="F6" s="1"/>
      <c r="G6" s="1"/>
    </row>
    <row r="7" spans="1:7" x14ac:dyDescent="0.25">
      <c r="A7" s="8"/>
      <c r="B7" s="8"/>
      <c r="C7" s="8"/>
      <c r="D7" s="8"/>
      <c r="E7" s="8"/>
      <c r="F7" s="8"/>
      <c r="G7" s="8"/>
    </row>
    <row r="8" spans="1:7" ht="15" customHeight="1" x14ac:dyDescent="0.25">
      <c r="A8" s="25" t="s">
        <v>217</v>
      </c>
      <c r="B8" s="25"/>
      <c r="C8" s="25"/>
      <c r="D8" s="25"/>
      <c r="E8" s="25"/>
      <c r="F8" s="1"/>
      <c r="G8" s="1"/>
    </row>
    <row r="9" spans="1:7" x14ac:dyDescent="0.25">
      <c r="A9" s="25"/>
      <c r="B9" s="25"/>
      <c r="C9" s="25"/>
      <c r="D9" s="25"/>
      <c r="E9" s="25"/>
      <c r="F9" s="1"/>
      <c r="G9" s="1"/>
    </row>
    <row r="10" spans="1:7" x14ac:dyDescent="0.25">
      <c r="A10" s="25"/>
      <c r="B10" s="25"/>
      <c r="C10" s="25"/>
      <c r="D10" s="25"/>
      <c r="E10" s="25"/>
      <c r="F10" s="1"/>
      <c r="G10" s="1"/>
    </row>
    <row r="11" spans="1:7" x14ac:dyDescent="0.25">
      <c r="A11" s="25"/>
      <c r="B11" s="25"/>
      <c r="C11" s="25"/>
      <c r="D11" s="25"/>
      <c r="E11" s="25"/>
      <c r="F11" s="1"/>
      <c r="G11" s="1"/>
    </row>
    <row r="12" spans="1:7" x14ac:dyDescent="0.25">
      <c r="A12" s="2"/>
    </row>
    <row r="13" spans="1:7" x14ac:dyDescent="0.25">
      <c r="A13" s="29" t="s">
        <v>218</v>
      </c>
      <c r="B13" s="29"/>
      <c r="C13" s="29"/>
      <c r="D13" s="29"/>
      <c r="E13" s="29"/>
    </row>
    <row r="14" spans="1:7" x14ac:dyDescent="0.25">
      <c r="A14" s="29"/>
      <c r="B14" s="29"/>
      <c r="C14" s="29"/>
      <c r="D14" s="29"/>
      <c r="E14" s="29"/>
    </row>
    <row r="15" spans="1:7" x14ac:dyDescent="0.25">
      <c r="B15" t="s">
        <v>219</v>
      </c>
    </row>
    <row r="16" spans="1:7" x14ac:dyDescent="0.25">
      <c r="B16" t="s">
        <v>220</v>
      </c>
    </row>
    <row r="17" spans="1:7" x14ac:dyDescent="0.25">
      <c r="B17" t="s">
        <v>221</v>
      </c>
    </row>
    <row r="18" spans="1:7" x14ac:dyDescent="0.25">
      <c r="B18" t="s">
        <v>222</v>
      </c>
    </row>
    <row r="20" spans="1:7" ht="15" customHeight="1" x14ac:dyDescent="0.25">
      <c r="A20" s="25" t="s">
        <v>223</v>
      </c>
      <c r="B20" s="25"/>
      <c r="C20" s="25"/>
      <c r="D20" s="25"/>
      <c r="E20" s="25"/>
      <c r="F20" s="1"/>
      <c r="G20" s="1"/>
    </row>
    <row r="21" spans="1:7" x14ac:dyDescent="0.25">
      <c r="A21" s="25"/>
      <c r="B21" s="25"/>
      <c r="C21" s="25"/>
      <c r="D21" s="25"/>
      <c r="E21" s="25"/>
      <c r="F21" s="1"/>
      <c r="G21" s="1"/>
    </row>
    <row r="23" spans="1:7" ht="15" customHeight="1" x14ac:dyDescent="0.25">
      <c r="A23" s="25" t="s">
        <v>224</v>
      </c>
      <c r="B23" s="25"/>
      <c r="C23" s="25"/>
      <c r="D23" s="25"/>
      <c r="E23" s="25"/>
      <c r="F23" s="1"/>
      <c r="G23" s="1"/>
    </row>
    <row r="24" spans="1:7" x14ac:dyDescent="0.25">
      <c r="A24" s="25"/>
      <c r="B24" s="25"/>
      <c r="C24" s="25"/>
      <c r="D24" s="25"/>
      <c r="E24" s="25"/>
      <c r="F24" s="1"/>
      <c r="G24" s="1"/>
    </row>
    <row r="26" spans="1:7" x14ac:dyDescent="0.25">
      <c r="A26" s="5" t="s">
        <v>225</v>
      </c>
    </row>
    <row r="28" spans="1:7" ht="15" customHeight="1" x14ac:dyDescent="0.25">
      <c r="A28" s="25" t="s">
        <v>226</v>
      </c>
      <c r="B28" s="25"/>
      <c r="C28" s="25"/>
      <c r="D28" s="25"/>
      <c r="E28" s="25"/>
      <c r="F28" s="1"/>
      <c r="G28" s="1"/>
    </row>
    <row r="29" spans="1:7" x14ac:dyDescent="0.25">
      <c r="A29" s="25"/>
      <c r="B29" s="25"/>
      <c r="C29" s="25"/>
      <c r="D29" s="25"/>
      <c r="E29" s="25"/>
      <c r="F29" s="1"/>
      <c r="G29" s="1"/>
    </row>
    <row r="30" spans="1:7" x14ac:dyDescent="0.25">
      <c r="A30" s="25"/>
      <c r="B30" s="25"/>
      <c r="C30" s="25"/>
      <c r="D30" s="25"/>
      <c r="E30" s="25"/>
      <c r="F30" s="1"/>
      <c r="G30" s="1"/>
    </row>
    <row r="32" spans="1:7" ht="15" customHeight="1" x14ac:dyDescent="0.25">
      <c r="A32" s="26" t="s">
        <v>246</v>
      </c>
      <c r="B32" s="26"/>
      <c r="C32" s="26"/>
      <c r="D32" s="26"/>
      <c r="E32" s="26"/>
      <c r="F32" s="10"/>
      <c r="G32" s="10"/>
    </row>
    <row r="33" spans="1:7" x14ac:dyDescent="0.25">
      <c r="A33" s="26"/>
      <c r="B33" s="26"/>
      <c r="C33" s="26"/>
      <c r="D33" s="26"/>
      <c r="E33" s="26"/>
      <c r="F33" s="10"/>
      <c r="G33" s="10"/>
    </row>
    <row r="34" spans="1:7" x14ac:dyDescent="0.25">
      <c r="A34" s="26"/>
      <c r="B34" s="26"/>
      <c r="C34" s="26"/>
      <c r="D34" s="26"/>
      <c r="E34" s="26"/>
      <c r="F34" s="10"/>
      <c r="G34" s="10"/>
    </row>
    <row r="35" spans="1:7" x14ac:dyDescent="0.25">
      <c r="B35" s="2"/>
    </row>
    <row r="36" spans="1:7" x14ac:dyDescent="0.25">
      <c r="A36" t="s">
        <v>227</v>
      </c>
      <c r="B36" s="2"/>
    </row>
    <row r="37" spans="1:7" x14ac:dyDescent="0.25">
      <c r="B37" s="2"/>
    </row>
    <row r="38" spans="1:7" x14ac:dyDescent="0.25">
      <c r="A38" t="s">
        <v>228</v>
      </c>
      <c r="B38" s="2" t="s">
        <v>229</v>
      </c>
      <c r="C38" t="s">
        <v>230</v>
      </c>
      <c r="D38" t="s">
        <v>231</v>
      </c>
      <c r="E38" t="s">
        <v>232</v>
      </c>
      <c r="F38" t="s">
        <v>233</v>
      </c>
    </row>
    <row r="39" spans="1:7" x14ac:dyDescent="0.25">
      <c r="A39" t="s">
        <v>234</v>
      </c>
      <c r="B39" s="6">
        <v>15</v>
      </c>
      <c r="C39" s="7">
        <v>5</v>
      </c>
      <c r="D39" s="7">
        <v>5</v>
      </c>
      <c r="E39" s="7">
        <v>10</v>
      </c>
      <c r="F39" s="7">
        <v>35</v>
      </c>
    </row>
    <row r="40" spans="1:7" x14ac:dyDescent="0.25">
      <c r="A40" t="s">
        <v>235</v>
      </c>
      <c r="B40" s="6">
        <v>10</v>
      </c>
      <c r="C40" s="7">
        <v>5</v>
      </c>
      <c r="D40" s="7">
        <v>10</v>
      </c>
      <c r="E40" s="7">
        <v>10</v>
      </c>
      <c r="F40" s="7">
        <v>35</v>
      </c>
    </row>
    <row r="41" spans="1:7" x14ac:dyDescent="0.25">
      <c r="A41" t="s">
        <v>236</v>
      </c>
      <c r="B41" s="7">
        <v>5</v>
      </c>
      <c r="C41" s="7">
        <v>10</v>
      </c>
      <c r="D41" s="7">
        <v>10</v>
      </c>
      <c r="E41" s="7">
        <v>5</v>
      </c>
      <c r="F41" s="7">
        <v>30</v>
      </c>
    </row>
    <row r="42" spans="1:7" x14ac:dyDescent="0.25">
      <c r="A42" t="s">
        <v>237</v>
      </c>
      <c r="B42" s="7">
        <v>5</v>
      </c>
      <c r="C42" s="7">
        <v>15</v>
      </c>
      <c r="D42" s="7">
        <v>5</v>
      </c>
      <c r="E42" s="7">
        <v>5</v>
      </c>
      <c r="F42" s="7">
        <v>30</v>
      </c>
    </row>
    <row r="43" spans="1:7" x14ac:dyDescent="0.25">
      <c r="A43" t="s">
        <v>238</v>
      </c>
      <c r="B43" s="7">
        <v>5</v>
      </c>
      <c r="C43" s="7">
        <v>20</v>
      </c>
      <c r="D43" s="7">
        <v>10</v>
      </c>
      <c r="E43" s="7">
        <v>5</v>
      </c>
      <c r="F43" s="7">
        <v>40</v>
      </c>
    </row>
    <row r="44" spans="1:7" x14ac:dyDescent="0.25">
      <c r="A44" t="s">
        <v>239</v>
      </c>
      <c r="B44" s="7">
        <v>10</v>
      </c>
      <c r="C44" s="7">
        <v>5</v>
      </c>
      <c r="D44" s="7">
        <v>10</v>
      </c>
      <c r="E44" s="7">
        <v>10</v>
      </c>
      <c r="F44" s="7">
        <v>35</v>
      </c>
    </row>
    <row r="45" spans="1:7" x14ac:dyDescent="0.25">
      <c r="A45" s="2" t="s">
        <v>240</v>
      </c>
      <c r="B45" s="7">
        <v>5</v>
      </c>
      <c r="C45" s="7">
        <v>15</v>
      </c>
      <c r="D45" s="7">
        <v>10</v>
      </c>
      <c r="E45" s="7">
        <v>5</v>
      </c>
      <c r="F45" s="7">
        <v>35</v>
      </c>
    </row>
    <row r="46" spans="1:7" x14ac:dyDescent="0.25">
      <c r="A46" t="s">
        <v>241</v>
      </c>
      <c r="B46" s="6"/>
      <c r="C46" s="7"/>
      <c r="D46" s="7"/>
      <c r="E46" s="7"/>
      <c r="F46" s="7">
        <v>240</v>
      </c>
    </row>
    <row r="47" spans="1:7" x14ac:dyDescent="0.25">
      <c r="B47" s="2"/>
    </row>
    <row r="48" spans="1:7" x14ac:dyDescent="0.25">
      <c r="A48" s="5" t="s">
        <v>242</v>
      </c>
      <c r="B48" s="2"/>
    </row>
    <row r="49" spans="1:2" x14ac:dyDescent="0.25">
      <c r="B49" s="2"/>
    </row>
    <row r="50" spans="1:2" x14ac:dyDescent="0.25">
      <c r="A50" t="s">
        <v>243</v>
      </c>
    </row>
    <row r="52" spans="1:2" x14ac:dyDescent="0.25">
      <c r="A52" t="s">
        <v>244</v>
      </c>
    </row>
    <row r="54" spans="1:2" x14ac:dyDescent="0.25">
      <c r="A54" s="5" t="s">
        <v>245</v>
      </c>
    </row>
    <row r="57" spans="1:2" x14ac:dyDescent="0.25">
      <c r="A57" s="5"/>
    </row>
  </sheetData>
  <mergeCells count="9">
    <mergeCell ref="A23:E24"/>
    <mergeCell ref="A28:E30"/>
    <mergeCell ref="A32:E34"/>
    <mergeCell ref="A3:C3"/>
    <mergeCell ref="A1:E1"/>
    <mergeCell ref="A4:E6"/>
    <mergeCell ref="A8:E11"/>
    <mergeCell ref="A13:E14"/>
    <mergeCell ref="A20:E21"/>
  </mergeCell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084E-F64D-4DA1-889F-B714430759E9}">
  <dimension ref="A1:F106"/>
  <sheetViews>
    <sheetView topLeftCell="A13" zoomScale="121" workbookViewId="0">
      <selection activeCell="G3" sqref="G3"/>
    </sheetView>
  </sheetViews>
  <sheetFormatPr baseColWidth="10" defaultRowHeight="15" x14ac:dyDescent="0.25"/>
  <cols>
    <col min="1" max="1" width="14.42578125" customWidth="1"/>
    <col min="2" max="2" width="49.42578125" bestFit="1" customWidth="1"/>
    <col min="3" max="3" width="14.42578125" customWidth="1"/>
    <col min="4" max="4" width="29.42578125" bestFit="1" customWidth="1"/>
    <col min="5" max="5" width="31.5703125" customWidth="1"/>
    <col min="6" max="6" width="18.140625" customWidth="1"/>
  </cols>
  <sheetData>
    <row r="1" spans="1:6" s="1" customFormat="1" x14ac:dyDescent="0.25">
      <c r="A1" s="1" t="s">
        <v>0</v>
      </c>
      <c r="B1" s="1" t="s">
        <v>1</v>
      </c>
      <c r="C1" s="1" t="s">
        <v>2</v>
      </c>
      <c r="D1" s="1" t="s">
        <v>3</v>
      </c>
      <c r="E1" s="1" t="s">
        <v>4</v>
      </c>
      <c r="F1" s="1" t="s">
        <v>5</v>
      </c>
    </row>
    <row r="2" spans="1:6" x14ac:dyDescent="0.25">
      <c r="A2" s="3">
        <v>1</v>
      </c>
      <c r="B2" s="5" t="s">
        <v>9</v>
      </c>
      <c r="C2" s="3" t="s">
        <v>10</v>
      </c>
      <c r="D2" s="13">
        <v>46073</v>
      </c>
      <c r="E2" s="13">
        <v>46265</v>
      </c>
      <c r="F2" s="4">
        <f>_xlfn.DAYS(Tabla1[[#This Row],[Fecha de inicio de la tarea]],Tabla1[[#This Row],[Fecha de finalizacion de la tarea]])*-1</f>
        <v>192</v>
      </c>
    </row>
    <row r="3" spans="1:6" x14ac:dyDescent="0.25">
      <c r="A3" s="3">
        <v>1.1000000000000001</v>
      </c>
      <c r="B3" s="5" t="s">
        <v>11</v>
      </c>
      <c r="C3" s="3" t="s">
        <v>10</v>
      </c>
      <c r="D3" s="13">
        <v>46078</v>
      </c>
      <c r="E3" s="13">
        <v>46142</v>
      </c>
      <c r="F3" s="4">
        <f>_xlfn.DAYS(Tabla1[[#This Row],[Fecha de inicio de la tarea]],Tabla1[[#This Row],[Fecha de finalizacion de la tarea]])*-1</f>
        <v>64</v>
      </c>
    </row>
    <row r="4" spans="1:6" x14ac:dyDescent="0.25">
      <c r="A4" s="3" t="s">
        <v>6</v>
      </c>
      <c r="B4" s="5" t="s">
        <v>12</v>
      </c>
      <c r="C4" s="3" t="s">
        <v>10</v>
      </c>
      <c r="D4" s="13">
        <v>46078</v>
      </c>
      <c r="E4" s="13">
        <v>46093</v>
      </c>
      <c r="F4" s="4">
        <f>_xlfn.DAYS(Tabla1[[#This Row],[Fecha de inicio de la tarea]],Tabla1[[#This Row],[Fecha de finalizacion de la tarea]])*-1</f>
        <v>15</v>
      </c>
    </row>
    <row r="5" spans="1:6" x14ac:dyDescent="0.25">
      <c r="A5" s="3" t="s">
        <v>7</v>
      </c>
      <c r="B5" t="s">
        <v>13</v>
      </c>
      <c r="C5" s="3" t="s">
        <v>10</v>
      </c>
      <c r="D5" s="13">
        <v>46078</v>
      </c>
      <c r="E5" s="13">
        <v>46079</v>
      </c>
      <c r="F5" s="4">
        <f>_xlfn.DAYS(Tabla1[[#This Row],[Fecha de inicio de la tarea]],Tabla1[[#This Row],[Fecha de finalizacion de la tarea]])*-1</f>
        <v>1</v>
      </c>
    </row>
    <row r="6" spans="1:6" x14ac:dyDescent="0.25">
      <c r="A6" s="3" t="s">
        <v>8</v>
      </c>
      <c r="B6" t="s">
        <v>14</v>
      </c>
      <c r="C6" s="3" t="s">
        <v>7</v>
      </c>
      <c r="D6" s="13">
        <v>46080</v>
      </c>
      <c r="E6" s="13">
        <v>46081</v>
      </c>
      <c r="F6" s="4">
        <f>_xlfn.DAYS(Tabla1[[#This Row],[Fecha de inicio de la tarea]],Tabla1[[#This Row],[Fecha de finalizacion de la tarea]])*-1</f>
        <v>1</v>
      </c>
    </row>
    <row r="7" spans="1:6" x14ac:dyDescent="0.25">
      <c r="A7" s="3" t="s">
        <v>15</v>
      </c>
      <c r="B7" t="s">
        <v>16</v>
      </c>
      <c r="C7" s="3" t="s">
        <v>8</v>
      </c>
      <c r="D7" s="13">
        <v>46082</v>
      </c>
      <c r="E7" s="13">
        <v>46083</v>
      </c>
      <c r="F7" s="4">
        <f>_xlfn.DAYS(Tabla1[[#This Row],[Fecha de inicio de la tarea]],Tabla1[[#This Row],[Fecha de finalizacion de la tarea]])*-1</f>
        <v>1</v>
      </c>
    </row>
    <row r="8" spans="1:6" x14ac:dyDescent="0.25">
      <c r="A8" s="3" t="s">
        <v>17</v>
      </c>
      <c r="B8" t="s">
        <v>18</v>
      </c>
      <c r="C8" s="3" t="s">
        <v>15</v>
      </c>
      <c r="D8" s="13">
        <v>46084</v>
      </c>
      <c r="E8" s="13">
        <v>46085</v>
      </c>
      <c r="F8" s="4">
        <f>_xlfn.DAYS(Tabla1[[#This Row],[Fecha de inicio de la tarea]],Tabla1[[#This Row],[Fecha de finalizacion de la tarea]])*-1</f>
        <v>1</v>
      </c>
    </row>
    <row r="9" spans="1:6" x14ac:dyDescent="0.25">
      <c r="A9" s="3" t="s">
        <v>19</v>
      </c>
      <c r="B9" t="s">
        <v>20</v>
      </c>
      <c r="C9" s="3" t="s">
        <v>15</v>
      </c>
      <c r="D9" s="13">
        <v>46086</v>
      </c>
      <c r="E9" s="13">
        <v>46087</v>
      </c>
      <c r="F9" s="4">
        <f>_xlfn.DAYS(Tabla1[[#This Row],[Fecha de inicio de la tarea]],Tabla1[[#This Row],[Fecha de finalizacion de la tarea]])*-1</f>
        <v>1</v>
      </c>
    </row>
    <row r="10" spans="1:6" x14ac:dyDescent="0.25">
      <c r="A10" s="3" t="s">
        <v>21</v>
      </c>
      <c r="B10" t="s">
        <v>22</v>
      </c>
      <c r="C10" s="3" t="s">
        <v>15</v>
      </c>
      <c r="D10" s="13">
        <v>46088</v>
      </c>
      <c r="E10" s="13">
        <v>46089</v>
      </c>
      <c r="F10" s="4">
        <f>_xlfn.DAYS(Tabla1[[#This Row],[Fecha de inicio de la tarea]],Tabla1[[#This Row],[Fecha de finalizacion de la tarea]])*-1</f>
        <v>1</v>
      </c>
    </row>
    <row r="11" spans="1:6" x14ac:dyDescent="0.25">
      <c r="A11" s="3" t="s">
        <v>23</v>
      </c>
      <c r="B11" t="s">
        <v>24</v>
      </c>
      <c r="C11" s="3" t="s">
        <v>21</v>
      </c>
      <c r="D11" s="13">
        <v>46090</v>
      </c>
      <c r="E11" s="13">
        <v>46090</v>
      </c>
      <c r="F11" s="4">
        <f>_xlfn.DAYS(Tabla1[[#This Row],[Fecha de inicio de la tarea]],Tabla1[[#This Row],[Fecha de finalizacion de la tarea]])*-1</f>
        <v>0</v>
      </c>
    </row>
    <row r="12" spans="1:6" x14ac:dyDescent="0.25">
      <c r="A12" s="3" t="s">
        <v>25</v>
      </c>
      <c r="B12" t="s">
        <v>26</v>
      </c>
      <c r="C12" s="3" t="s">
        <v>21</v>
      </c>
      <c r="D12" s="13">
        <v>46091</v>
      </c>
      <c r="E12" s="13">
        <v>46091</v>
      </c>
      <c r="F12" s="4">
        <f>_xlfn.DAYS(Tabla1[[#This Row],[Fecha de inicio de la tarea]],Tabla1[[#This Row],[Fecha de finalizacion de la tarea]])*-1</f>
        <v>0</v>
      </c>
    </row>
    <row r="13" spans="1:6" x14ac:dyDescent="0.25">
      <c r="A13" s="3" t="s">
        <v>27</v>
      </c>
      <c r="B13" t="s">
        <v>28</v>
      </c>
      <c r="C13" s="3" t="s">
        <v>25</v>
      </c>
      <c r="D13" s="13">
        <v>46092</v>
      </c>
      <c r="E13" s="13">
        <v>46092</v>
      </c>
      <c r="F13" s="4">
        <f>_xlfn.DAYS(Tabla1[[#This Row],[Fecha de inicio de la tarea]],Tabla1[[#This Row],[Fecha de finalizacion de la tarea]])*-1</f>
        <v>0</v>
      </c>
    </row>
    <row r="14" spans="1:6" x14ac:dyDescent="0.25">
      <c r="A14" s="3" t="s">
        <v>29</v>
      </c>
      <c r="B14" t="s">
        <v>30</v>
      </c>
      <c r="C14" s="3" t="s">
        <v>27</v>
      </c>
      <c r="D14" s="13">
        <v>46093</v>
      </c>
      <c r="E14" s="13">
        <v>46093</v>
      </c>
      <c r="F14" s="4">
        <f>_xlfn.DAYS(Tabla1[[#This Row],[Fecha de inicio de la tarea]],Tabla1[[#This Row],[Fecha de finalizacion de la tarea]])*-1</f>
        <v>0</v>
      </c>
    </row>
    <row r="15" spans="1:6" x14ac:dyDescent="0.25">
      <c r="A15" s="3" t="s">
        <v>31</v>
      </c>
      <c r="B15" s="5" t="s">
        <v>32</v>
      </c>
      <c r="C15" s="3" t="s">
        <v>6</v>
      </c>
      <c r="D15" s="13">
        <v>46098</v>
      </c>
      <c r="E15" s="13">
        <v>46101</v>
      </c>
      <c r="F15" s="4">
        <f>_xlfn.DAYS(Tabla1[[#This Row],[Fecha de inicio de la tarea]],Tabla1[[#This Row],[Fecha de finalizacion de la tarea]])*-1</f>
        <v>3</v>
      </c>
    </row>
    <row r="16" spans="1:6" x14ac:dyDescent="0.25">
      <c r="A16" s="3" t="s">
        <v>33</v>
      </c>
      <c r="B16" t="s">
        <v>34</v>
      </c>
      <c r="C16" s="3" t="s">
        <v>31</v>
      </c>
      <c r="D16" s="13">
        <v>46098</v>
      </c>
      <c r="E16" s="13">
        <v>46098</v>
      </c>
      <c r="F16" s="4">
        <f>_xlfn.DAYS(Tabla1[[#This Row],[Fecha de inicio de la tarea]],Tabla1[[#This Row],[Fecha de finalizacion de la tarea]])*-1</f>
        <v>0</v>
      </c>
    </row>
    <row r="17" spans="1:6" x14ac:dyDescent="0.25">
      <c r="A17" s="3" t="s">
        <v>35</v>
      </c>
      <c r="B17" t="s">
        <v>36</v>
      </c>
      <c r="C17" s="3" t="s">
        <v>33</v>
      </c>
      <c r="D17" s="13">
        <v>46098</v>
      </c>
      <c r="E17" s="13">
        <v>46099</v>
      </c>
      <c r="F17" s="4">
        <f>_xlfn.DAYS(Tabla1[[#This Row],[Fecha de inicio de la tarea]],Tabla1[[#This Row],[Fecha de finalizacion de la tarea]])*-1</f>
        <v>1</v>
      </c>
    </row>
    <row r="18" spans="1:6" x14ac:dyDescent="0.25">
      <c r="A18" s="3" t="s">
        <v>37</v>
      </c>
      <c r="B18" t="s">
        <v>38</v>
      </c>
      <c r="C18" s="3" t="s">
        <v>35</v>
      </c>
      <c r="D18" s="13">
        <v>46099</v>
      </c>
      <c r="E18" s="13">
        <v>46099</v>
      </c>
      <c r="F18" s="4">
        <f>_xlfn.DAYS(Tabla1[[#This Row],[Fecha de inicio de la tarea]],Tabla1[[#This Row],[Fecha de finalizacion de la tarea]])*-1</f>
        <v>0</v>
      </c>
    </row>
    <row r="19" spans="1:6" x14ac:dyDescent="0.25">
      <c r="A19" s="3" t="s">
        <v>39</v>
      </c>
      <c r="B19" t="s">
        <v>40</v>
      </c>
      <c r="C19" s="3" t="s">
        <v>37</v>
      </c>
      <c r="D19" s="13">
        <v>46099</v>
      </c>
      <c r="E19" s="13">
        <v>46100</v>
      </c>
      <c r="F19" s="4">
        <f>_xlfn.DAYS(Tabla1[[#This Row],[Fecha de inicio de la tarea]],Tabla1[[#This Row],[Fecha de finalizacion de la tarea]])*-1</f>
        <v>1</v>
      </c>
    </row>
    <row r="20" spans="1:6" x14ac:dyDescent="0.25">
      <c r="A20" s="3" t="s">
        <v>41</v>
      </c>
      <c r="B20" t="s">
        <v>42</v>
      </c>
      <c r="C20" s="3" t="s">
        <v>39</v>
      </c>
      <c r="D20" s="13">
        <v>46100</v>
      </c>
      <c r="E20" s="13">
        <v>46100</v>
      </c>
      <c r="F20" s="4">
        <f>_xlfn.DAYS(Tabla1[[#This Row],[Fecha de inicio de la tarea]],Tabla1[[#This Row],[Fecha de finalizacion de la tarea]])*-1</f>
        <v>0</v>
      </c>
    </row>
    <row r="21" spans="1:6" x14ac:dyDescent="0.25">
      <c r="A21" s="3" t="s">
        <v>43</v>
      </c>
      <c r="B21" t="s">
        <v>44</v>
      </c>
      <c r="C21" s="3" t="s">
        <v>41</v>
      </c>
      <c r="D21" s="13">
        <v>46100</v>
      </c>
      <c r="E21" s="13">
        <v>46100</v>
      </c>
      <c r="F21" s="4">
        <f>_xlfn.DAYS(Tabla1[[#This Row],[Fecha de inicio de la tarea]],Tabla1[[#This Row],[Fecha de finalizacion de la tarea]])*-1</f>
        <v>0</v>
      </c>
    </row>
    <row r="22" spans="1:6" x14ac:dyDescent="0.25">
      <c r="A22" s="3" t="s">
        <v>45</v>
      </c>
      <c r="B22" t="s">
        <v>46</v>
      </c>
      <c r="C22" s="3" t="s">
        <v>43</v>
      </c>
      <c r="D22" s="13">
        <v>46100</v>
      </c>
      <c r="E22" s="13">
        <v>46101</v>
      </c>
      <c r="F22" s="4">
        <f>_xlfn.DAYS(Tabla1[[#This Row],[Fecha de inicio de la tarea]],Tabla1[[#This Row],[Fecha de finalizacion de la tarea]])*-1</f>
        <v>1</v>
      </c>
    </row>
    <row r="23" spans="1:6" x14ac:dyDescent="0.25">
      <c r="A23" s="3" t="s">
        <v>47</v>
      </c>
      <c r="B23" t="s">
        <v>48</v>
      </c>
      <c r="C23" s="3" t="s">
        <v>45</v>
      </c>
      <c r="D23" s="13">
        <v>46101</v>
      </c>
      <c r="E23" s="13">
        <v>46101</v>
      </c>
      <c r="F23" s="4">
        <f>_xlfn.DAYS(Tabla1[[#This Row],[Fecha de inicio de la tarea]],Tabla1[[#This Row],[Fecha de finalizacion de la tarea]])*-1</f>
        <v>0</v>
      </c>
    </row>
    <row r="24" spans="1:6" x14ac:dyDescent="0.25">
      <c r="A24" s="3" t="s">
        <v>49</v>
      </c>
      <c r="B24" t="s">
        <v>50</v>
      </c>
      <c r="C24" s="3" t="s">
        <v>47</v>
      </c>
      <c r="D24" s="13">
        <v>46101</v>
      </c>
      <c r="E24" s="13">
        <v>46101</v>
      </c>
      <c r="F24" s="4">
        <f>_xlfn.DAYS(Tabla1[[#This Row],[Fecha de inicio de la tarea]],Tabla1[[#This Row],[Fecha de finalizacion de la tarea]])*-1</f>
        <v>0</v>
      </c>
    </row>
    <row r="25" spans="1:6" x14ac:dyDescent="0.25">
      <c r="A25" s="3" t="s">
        <v>51</v>
      </c>
      <c r="B25" t="s">
        <v>52</v>
      </c>
      <c r="C25" s="3" t="s">
        <v>49</v>
      </c>
      <c r="D25" s="13">
        <v>46101</v>
      </c>
      <c r="E25" s="13">
        <v>46101</v>
      </c>
      <c r="F25" s="4">
        <f>_xlfn.DAYS(Tabla1[[#This Row],[Fecha de inicio de la tarea]],Tabla1[[#This Row],[Fecha de finalizacion de la tarea]])*-1</f>
        <v>0</v>
      </c>
    </row>
    <row r="26" spans="1:6" x14ac:dyDescent="0.25">
      <c r="A26" s="3" t="s">
        <v>53</v>
      </c>
      <c r="B26" s="5" t="s">
        <v>54</v>
      </c>
      <c r="C26" s="3" t="s">
        <v>51</v>
      </c>
      <c r="D26" s="13">
        <v>46104</v>
      </c>
      <c r="E26" s="13">
        <v>46108</v>
      </c>
      <c r="F26" s="4">
        <f>_xlfn.DAYS(Tabla1[[#This Row],[Fecha de inicio de la tarea]],Tabla1[[#This Row],[Fecha de finalizacion de la tarea]])*-1</f>
        <v>4</v>
      </c>
    </row>
    <row r="27" spans="1:6" x14ac:dyDescent="0.25">
      <c r="A27" s="3" t="s">
        <v>55</v>
      </c>
      <c r="B27" t="s">
        <v>56</v>
      </c>
      <c r="C27" s="3" t="s">
        <v>10</v>
      </c>
      <c r="D27" s="13">
        <v>46104</v>
      </c>
      <c r="E27" s="13">
        <v>46104</v>
      </c>
      <c r="F27" s="4">
        <f>_xlfn.DAYS(Tabla1[[#This Row],[Fecha de inicio de la tarea]],Tabla1[[#This Row],[Fecha de finalizacion de la tarea]])*-1</f>
        <v>0</v>
      </c>
    </row>
    <row r="28" spans="1:6" x14ac:dyDescent="0.25">
      <c r="A28" s="3" t="s">
        <v>57</v>
      </c>
      <c r="B28" t="s">
        <v>58</v>
      </c>
      <c r="C28" s="3" t="s">
        <v>55</v>
      </c>
      <c r="D28" s="13">
        <v>46105</v>
      </c>
      <c r="E28" s="13">
        <v>46105</v>
      </c>
      <c r="F28" s="4">
        <f>_xlfn.DAYS(Tabla1[[#This Row],[Fecha de inicio de la tarea]],Tabla1[[#This Row],[Fecha de finalizacion de la tarea]])*-1</f>
        <v>0</v>
      </c>
    </row>
    <row r="29" spans="1:6" x14ac:dyDescent="0.25">
      <c r="A29" s="3" t="s">
        <v>59</v>
      </c>
      <c r="B29" t="s">
        <v>60</v>
      </c>
      <c r="C29" s="3" t="s">
        <v>57</v>
      </c>
      <c r="D29" s="13">
        <v>46106</v>
      </c>
      <c r="E29" s="13">
        <v>46106</v>
      </c>
      <c r="F29" s="4">
        <f>_xlfn.DAYS(Tabla1[[#This Row],[Fecha de inicio de la tarea]],Tabla1[[#This Row],[Fecha de finalizacion de la tarea]])*-1</f>
        <v>0</v>
      </c>
    </row>
    <row r="30" spans="1:6" x14ac:dyDescent="0.25">
      <c r="A30" s="3" t="s">
        <v>61</v>
      </c>
      <c r="B30" t="s">
        <v>62</v>
      </c>
      <c r="C30" s="3" t="s">
        <v>57</v>
      </c>
      <c r="D30" s="13">
        <v>46106</v>
      </c>
      <c r="E30" s="13">
        <v>46107</v>
      </c>
      <c r="F30" s="4">
        <f>_xlfn.DAYS(Tabla1[[#This Row],[Fecha de inicio de la tarea]],Tabla1[[#This Row],[Fecha de finalizacion de la tarea]])*-1</f>
        <v>1</v>
      </c>
    </row>
    <row r="31" spans="1:6" x14ac:dyDescent="0.25">
      <c r="A31" s="3" t="s">
        <v>63</v>
      </c>
      <c r="B31" t="s">
        <v>64</v>
      </c>
      <c r="C31" s="3" t="s">
        <v>59</v>
      </c>
      <c r="D31" s="13">
        <v>46107</v>
      </c>
      <c r="E31" s="13">
        <v>46108</v>
      </c>
      <c r="F31" s="4">
        <f>_xlfn.DAYS(Tabla1[[#This Row],[Fecha de inicio de la tarea]],Tabla1[[#This Row],[Fecha de finalizacion de la tarea]])*-1</f>
        <v>1</v>
      </c>
    </row>
    <row r="32" spans="1:6" x14ac:dyDescent="0.25">
      <c r="A32" s="3" t="s">
        <v>65</v>
      </c>
      <c r="B32" t="s">
        <v>66</v>
      </c>
      <c r="C32" s="3" t="s">
        <v>61</v>
      </c>
      <c r="D32" s="13">
        <v>46108</v>
      </c>
      <c r="E32" s="13">
        <v>46108</v>
      </c>
      <c r="F32" s="4">
        <f>_xlfn.DAYS(Tabla1[[#This Row],[Fecha de inicio de la tarea]],Tabla1[[#This Row],[Fecha de finalizacion de la tarea]])*-1</f>
        <v>0</v>
      </c>
    </row>
    <row r="33" spans="1:6" x14ac:dyDescent="0.25">
      <c r="A33" s="3" t="s">
        <v>67</v>
      </c>
      <c r="B33" s="5" t="s">
        <v>68</v>
      </c>
      <c r="C33" s="3" t="s">
        <v>51</v>
      </c>
      <c r="D33" s="13">
        <v>46111</v>
      </c>
      <c r="E33" s="13">
        <v>46115</v>
      </c>
      <c r="F33" s="4">
        <f>_xlfn.DAYS(Tabla1[[#This Row],[Fecha de inicio de la tarea]],Tabla1[[#This Row],[Fecha de finalizacion de la tarea]])*-1</f>
        <v>4</v>
      </c>
    </row>
    <row r="34" spans="1:6" x14ac:dyDescent="0.25">
      <c r="A34" s="3" t="s">
        <v>69</v>
      </c>
      <c r="B34" t="s">
        <v>70</v>
      </c>
      <c r="C34" s="3" t="s">
        <v>10</v>
      </c>
      <c r="D34" s="13">
        <v>46111</v>
      </c>
      <c r="E34" s="13">
        <v>46111</v>
      </c>
      <c r="F34" s="4">
        <f>_xlfn.DAYS(Tabla1[[#This Row],[Fecha de inicio de la tarea]],Tabla1[[#This Row],[Fecha de finalizacion de la tarea]])*-1</f>
        <v>0</v>
      </c>
    </row>
    <row r="35" spans="1:6" x14ac:dyDescent="0.25">
      <c r="A35" s="3" t="s">
        <v>71</v>
      </c>
      <c r="B35" t="s">
        <v>72</v>
      </c>
      <c r="C35" s="3" t="s">
        <v>69</v>
      </c>
      <c r="D35" s="13">
        <v>46112</v>
      </c>
      <c r="E35" s="13">
        <v>46112</v>
      </c>
      <c r="F35" s="4">
        <f>_xlfn.DAYS(Tabla1[[#This Row],[Fecha de inicio de la tarea]],Tabla1[[#This Row],[Fecha de finalizacion de la tarea]])*-1</f>
        <v>0</v>
      </c>
    </row>
    <row r="36" spans="1:6" x14ac:dyDescent="0.25">
      <c r="A36" s="3" t="s">
        <v>73</v>
      </c>
      <c r="B36" t="s">
        <v>74</v>
      </c>
      <c r="C36" s="3" t="s">
        <v>69</v>
      </c>
      <c r="D36" s="13">
        <v>46112</v>
      </c>
      <c r="E36" s="13">
        <v>46113</v>
      </c>
      <c r="F36" s="4">
        <f>_xlfn.DAYS(Tabla1[[#This Row],[Fecha de inicio de la tarea]],Tabla1[[#This Row],[Fecha de finalizacion de la tarea]])*-1</f>
        <v>1</v>
      </c>
    </row>
    <row r="37" spans="1:6" x14ac:dyDescent="0.25">
      <c r="A37" s="3" t="s">
        <v>75</v>
      </c>
      <c r="B37" t="s">
        <v>76</v>
      </c>
      <c r="C37" s="3" t="s">
        <v>71</v>
      </c>
      <c r="D37" s="13">
        <v>46113</v>
      </c>
      <c r="E37" s="13">
        <v>46113</v>
      </c>
      <c r="F37" s="4">
        <f>_xlfn.DAYS(Tabla1[[#This Row],[Fecha de inicio de la tarea]],Tabla1[[#This Row],[Fecha de finalizacion de la tarea]])*-1</f>
        <v>0</v>
      </c>
    </row>
    <row r="38" spans="1:6" x14ac:dyDescent="0.25">
      <c r="A38" s="3" t="s">
        <v>77</v>
      </c>
      <c r="B38" t="s">
        <v>78</v>
      </c>
      <c r="C38" s="3" t="s">
        <v>73</v>
      </c>
      <c r="D38" s="13">
        <v>46114</v>
      </c>
      <c r="E38" s="13">
        <v>46114</v>
      </c>
      <c r="F38" s="4">
        <f>_xlfn.DAYS(Tabla1[[#This Row],[Fecha de inicio de la tarea]],Tabla1[[#This Row],[Fecha de finalizacion de la tarea]])*-1</f>
        <v>0</v>
      </c>
    </row>
    <row r="39" spans="1:6" x14ac:dyDescent="0.25">
      <c r="A39" s="3" t="s">
        <v>79</v>
      </c>
      <c r="B39" t="s">
        <v>80</v>
      </c>
      <c r="C39" s="3" t="s">
        <v>77</v>
      </c>
      <c r="D39" s="13">
        <v>46115</v>
      </c>
      <c r="E39" s="13">
        <v>46115</v>
      </c>
      <c r="F39" s="4">
        <f>_xlfn.DAYS(Tabla1[[#This Row],[Fecha de inicio de la tarea]],Tabla1[[#This Row],[Fecha de finalizacion de la tarea]])*-1</f>
        <v>0</v>
      </c>
    </row>
    <row r="40" spans="1:6" x14ac:dyDescent="0.25">
      <c r="A40" s="3" t="s">
        <v>81</v>
      </c>
      <c r="B40" s="5" t="s">
        <v>82</v>
      </c>
      <c r="C40" s="3" t="s">
        <v>51</v>
      </c>
      <c r="D40" s="13">
        <v>46118</v>
      </c>
      <c r="E40" s="13">
        <v>46122</v>
      </c>
      <c r="F40" s="4">
        <f>_xlfn.DAYS(Tabla1[[#This Row],[Fecha de inicio de la tarea]],Tabla1[[#This Row],[Fecha de finalizacion de la tarea]])*-1</f>
        <v>4</v>
      </c>
    </row>
    <row r="41" spans="1:6" x14ac:dyDescent="0.25">
      <c r="A41" s="3" t="s">
        <v>83</v>
      </c>
      <c r="B41" t="s">
        <v>84</v>
      </c>
      <c r="C41" s="3" t="s">
        <v>10</v>
      </c>
      <c r="D41" s="13">
        <v>46118</v>
      </c>
      <c r="E41" s="13">
        <v>46118</v>
      </c>
      <c r="F41" s="4">
        <f>_xlfn.DAYS(Tabla1[[#This Row],[Fecha de inicio de la tarea]],Tabla1[[#This Row],[Fecha de finalizacion de la tarea]])*-1</f>
        <v>0</v>
      </c>
    </row>
    <row r="42" spans="1:6" x14ac:dyDescent="0.25">
      <c r="A42" s="3" t="s">
        <v>85</v>
      </c>
      <c r="B42" t="s">
        <v>86</v>
      </c>
      <c r="C42" s="3" t="s">
        <v>83</v>
      </c>
      <c r="D42" s="13">
        <v>46119</v>
      </c>
      <c r="E42" s="13">
        <v>46119</v>
      </c>
      <c r="F42" s="4">
        <f>_xlfn.DAYS(Tabla1[[#This Row],[Fecha de inicio de la tarea]],Tabla1[[#This Row],[Fecha de finalizacion de la tarea]])*-1</f>
        <v>0</v>
      </c>
    </row>
    <row r="43" spans="1:6" x14ac:dyDescent="0.25">
      <c r="A43" s="3" t="s">
        <v>87</v>
      </c>
      <c r="B43" t="s">
        <v>88</v>
      </c>
      <c r="C43" s="3" t="s">
        <v>85</v>
      </c>
      <c r="D43" s="13">
        <v>46120</v>
      </c>
      <c r="E43" s="13">
        <v>46120</v>
      </c>
      <c r="F43" s="4">
        <f>_xlfn.DAYS(Tabla1[[#This Row],[Fecha de inicio de la tarea]],Tabla1[[#This Row],[Fecha de finalizacion de la tarea]])*-1</f>
        <v>0</v>
      </c>
    </row>
    <row r="44" spans="1:6" x14ac:dyDescent="0.25">
      <c r="A44" s="3" t="s">
        <v>89</v>
      </c>
      <c r="B44" t="s">
        <v>90</v>
      </c>
      <c r="C44" s="3" t="s">
        <v>87</v>
      </c>
      <c r="D44" s="13">
        <v>46121</v>
      </c>
      <c r="E44" s="13">
        <v>46121</v>
      </c>
      <c r="F44" s="4">
        <f>_xlfn.DAYS(Tabla1[[#This Row],[Fecha de inicio de la tarea]],Tabla1[[#This Row],[Fecha de finalizacion de la tarea]])*-1</f>
        <v>0</v>
      </c>
    </row>
    <row r="45" spans="1:6" x14ac:dyDescent="0.25">
      <c r="A45" s="3" t="s">
        <v>91</v>
      </c>
      <c r="B45" t="s">
        <v>92</v>
      </c>
      <c r="C45" s="3" t="s">
        <v>89</v>
      </c>
      <c r="D45" s="13">
        <v>46122</v>
      </c>
      <c r="E45" s="13">
        <v>46122</v>
      </c>
      <c r="F45" s="4">
        <f>_xlfn.DAYS(Tabla1[[#This Row],[Fecha de inicio de la tarea]],Tabla1[[#This Row],[Fecha de finalizacion de la tarea]])*-1</f>
        <v>0</v>
      </c>
    </row>
    <row r="46" spans="1:6" x14ac:dyDescent="0.25">
      <c r="A46" s="3" t="s">
        <v>93</v>
      </c>
      <c r="B46" s="5" t="s">
        <v>94</v>
      </c>
      <c r="C46" s="3" t="s">
        <v>51</v>
      </c>
      <c r="D46" s="13">
        <v>46125</v>
      </c>
      <c r="E46" s="13">
        <v>46129</v>
      </c>
      <c r="F46" s="4">
        <f>_xlfn.DAYS(Tabla1[[#This Row],[Fecha de inicio de la tarea]],Tabla1[[#This Row],[Fecha de finalizacion de la tarea]])*-1</f>
        <v>4</v>
      </c>
    </row>
    <row r="47" spans="1:6" x14ac:dyDescent="0.25">
      <c r="A47" s="3" t="s">
        <v>95</v>
      </c>
      <c r="B47" t="s">
        <v>96</v>
      </c>
      <c r="C47" s="3" t="s">
        <v>10</v>
      </c>
      <c r="D47" s="13">
        <v>46125</v>
      </c>
      <c r="E47" s="13">
        <v>46125</v>
      </c>
      <c r="F47" s="4">
        <f>_xlfn.DAYS(Tabla1[[#This Row],[Fecha de inicio de la tarea]],Tabla1[[#This Row],[Fecha de finalizacion de la tarea]])*-1</f>
        <v>0</v>
      </c>
    </row>
    <row r="48" spans="1:6" x14ac:dyDescent="0.25">
      <c r="A48" s="3" t="s">
        <v>97</v>
      </c>
      <c r="B48" t="s">
        <v>98</v>
      </c>
      <c r="C48" s="3" t="s">
        <v>95</v>
      </c>
      <c r="D48" s="13">
        <v>46126</v>
      </c>
      <c r="E48" s="13">
        <v>46126</v>
      </c>
      <c r="F48" s="4">
        <f>_xlfn.DAYS(Tabla1[[#This Row],[Fecha de inicio de la tarea]],Tabla1[[#This Row],[Fecha de finalizacion de la tarea]])*-1</f>
        <v>0</v>
      </c>
    </row>
    <row r="49" spans="1:6" x14ac:dyDescent="0.25">
      <c r="A49" s="3" t="s">
        <v>99</v>
      </c>
      <c r="B49" t="s">
        <v>100</v>
      </c>
      <c r="C49" s="3" t="s">
        <v>97</v>
      </c>
      <c r="D49" s="13">
        <v>46127</v>
      </c>
      <c r="E49" s="13">
        <v>46127</v>
      </c>
      <c r="F49" s="4">
        <f>_xlfn.DAYS(Tabla1[[#This Row],[Fecha de inicio de la tarea]],Tabla1[[#This Row],[Fecha de finalizacion de la tarea]])*-1</f>
        <v>0</v>
      </c>
    </row>
    <row r="50" spans="1:6" x14ac:dyDescent="0.25">
      <c r="A50" s="3" t="s">
        <v>101</v>
      </c>
      <c r="B50" t="s">
        <v>102</v>
      </c>
      <c r="C50" s="3" t="s">
        <v>99</v>
      </c>
      <c r="D50" s="13">
        <v>46128</v>
      </c>
      <c r="E50" s="13">
        <v>46128</v>
      </c>
      <c r="F50" s="4">
        <f>_xlfn.DAYS(Tabla1[[#This Row],[Fecha de inicio de la tarea]],Tabla1[[#This Row],[Fecha de finalizacion de la tarea]])*-1</f>
        <v>0</v>
      </c>
    </row>
    <row r="51" spans="1:6" x14ac:dyDescent="0.25">
      <c r="A51" s="3" t="s">
        <v>103</v>
      </c>
      <c r="B51" t="s">
        <v>104</v>
      </c>
      <c r="C51" s="3" t="s">
        <v>101</v>
      </c>
      <c r="D51" s="13">
        <v>46129</v>
      </c>
      <c r="E51" s="13">
        <v>46129</v>
      </c>
      <c r="F51" s="4">
        <f>_xlfn.DAYS(Tabla1[[#This Row],[Fecha de inicio de la tarea]],Tabla1[[#This Row],[Fecha de finalizacion de la tarea]])*-1</f>
        <v>0</v>
      </c>
    </row>
    <row r="52" spans="1:6" x14ac:dyDescent="0.25">
      <c r="A52" s="3" t="s">
        <v>105</v>
      </c>
      <c r="B52" s="5" t="s">
        <v>106</v>
      </c>
      <c r="C52" s="3" t="s">
        <v>51</v>
      </c>
      <c r="D52" s="13">
        <v>46132</v>
      </c>
      <c r="E52" s="13">
        <v>46136</v>
      </c>
      <c r="F52" s="4">
        <f>_xlfn.DAYS(Tabla1[[#This Row],[Fecha de inicio de la tarea]],Tabla1[[#This Row],[Fecha de finalizacion de la tarea]])*-1</f>
        <v>4</v>
      </c>
    </row>
    <row r="53" spans="1:6" x14ac:dyDescent="0.25">
      <c r="A53" s="3" t="s">
        <v>107</v>
      </c>
      <c r="B53" t="s">
        <v>108</v>
      </c>
      <c r="C53" s="3" t="s">
        <v>10</v>
      </c>
      <c r="D53" s="13">
        <v>46132</v>
      </c>
      <c r="E53" s="13">
        <v>46132</v>
      </c>
      <c r="F53" s="4">
        <f>_xlfn.DAYS(Tabla1[[#This Row],[Fecha de inicio de la tarea]],Tabla1[[#This Row],[Fecha de finalizacion de la tarea]])*-1</f>
        <v>0</v>
      </c>
    </row>
    <row r="54" spans="1:6" x14ac:dyDescent="0.25">
      <c r="A54" s="3" t="s">
        <v>109</v>
      </c>
      <c r="B54" t="s">
        <v>110</v>
      </c>
      <c r="C54" s="3" t="s">
        <v>10</v>
      </c>
      <c r="D54" s="13">
        <v>46133</v>
      </c>
      <c r="E54" s="13">
        <v>46133</v>
      </c>
      <c r="F54" s="4">
        <f>_xlfn.DAYS(Tabla1[[#This Row],[Fecha de inicio de la tarea]],Tabla1[[#This Row],[Fecha de finalizacion de la tarea]])*-1</f>
        <v>0</v>
      </c>
    </row>
    <row r="55" spans="1:6" x14ac:dyDescent="0.25">
      <c r="A55" s="3" t="s">
        <v>111</v>
      </c>
      <c r="B55" t="s">
        <v>112</v>
      </c>
      <c r="C55" s="3" t="s">
        <v>107</v>
      </c>
      <c r="D55" s="13">
        <v>46134</v>
      </c>
      <c r="E55" s="13">
        <v>46134</v>
      </c>
      <c r="F55" s="4">
        <f>_xlfn.DAYS(Tabla1[[#This Row],[Fecha de inicio de la tarea]],Tabla1[[#This Row],[Fecha de finalizacion de la tarea]])*-1</f>
        <v>0</v>
      </c>
    </row>
    <row r="56" spans="1:6" x14ac:dyDescent="0.25">
      <c r="A56" s="3" t="s">
        <v>113</v>
      </c>
      <c r="B56" t="s">
        <v>114</v>
      </c>
      <c r="C56" s="3" t="s">
        <v>111</v>
      </c>
      <c r="D56" s="13">
        <v>46135</v>
      </c>
      <c r="E56" s="13">
        <v>46135</v>
      </c>
      <c r="F56" s="4">
        <f>_xlfn.DAYS(Tabla1[[#This Row],[Fecha de inicio de la tarea]],Tabla1[[#This Row],[Fecha de finalizacion de la tarea]])*-1</f>
        <v>0</v>
      </c>
    </row>
    <row r="57" spans="1:6" x14ac:dyDescent="0.25">
      <c r="A57" s="3" t="s">
        <v>115</v>
      </c>
      <c r="B57" t="s">
        <v>116</v>
      </c>
      <c r="C57" s="3" t="s">
        <v>113</v>
      </c>
      <c r="D57" s="13">
        <v>46136</v>
      </c>
      <c r="E57" s="13">
        <v>46136</v>
      </c>
      <c r="F57" s="4">
        <f>_xlfn.DAYS(Tabla1[[#This Row],[Fecha de inicio de la tarea]],Tabla1[[#This Row],[Fecha de finalizacion de la tarea]])*-1</f>
        <v>0</v>
      </c>
    </row>
    <row r="58" spans="1:6" x14ac:dyDescent="0.25">
      <c r="A58" s="3" t="s">
        <v>117</v>
      </c>
      <c r="B58" s="5" t="s">
        <v>118</v>
      </c>
      <c r="C58" s="3" t="s">
        <v>29</v>
      </c>
      <c r="D58" s="13">
        <v>46139</v>
      </c>
      <c r="E58" s="13">
        <v>46142</v>
      </c>
      <c r="F58" s="4">
        <f>_xlfn.DAYS(Tabla1[[#This Row],[Fecha de inicio de la tarea]],Tabla1[[#This Row],[Fecha de finalizacion de la tarea]])*-1</f>
        <v>3</v>
      </c>
    </row>
    <row r="59" spans="1:6" x14ac:dyDescent="0.25">
      <c r="A59" s="3" t="s">
        <v>119</v>
      </c>
      <c r="B59" t="s">
        <v>120</v>
      </c>
      <c r="C59" s="3" t="s">
        <v>10</v>
      </c>
      <c r="D59" s="13">
        <v>46139</v>
      </c>
      <c r="E59" s="13">
        <v>46139</v>
      </c>
      <c r="F59" s="4">
        <f>_xlfn.DAYS(Tabla1[[#This Row],[Fecha de inicio de la tarea]],Tabla1[[#This Row],[Fecha de finalizacion de la tarea]])*-1</f>
        <v>0</v>
      </c>
    </row>
    <row r="60" spans="1:6" x14ac:dyDescent="0.25">
      <c r="A60" s="3" t="s">
        <v>121</v>
      </c>
      <c r="B60" t="s">
        <v>122</v>
      </c>
      <c r="C60" s="3" t="s">
        <v>119</v>
      </c>
      <c r="D60" s="13">
        <v>46140</v>
      </c>
      <c r="E60" s="13">
        <v>46140</v>
      </c>
      <c r="F60" s="4">
        <f>_xlfn.DAYS(Tabla1[[#This Row],[Fecha de inicio de la tarea]],Tabla1[[#This Row],[Fecha de finalizacion de la tarea]])*-1</f>
        <v>0</v>
      </c>
    </row>
    <row r="61" spans="1:6" x14ac:dyDescent="0.25">
      <c r="A61" s="3" t="s">
        <v>123</v>
      </c>
      <c r="B61" t="s">
        <v>124</v>
      </c>
      <c r="C61" s="3" t="s">
        <v>121</v>
      </c>
      <c r="D61" s="13">
        <v>46141</v>
      </c>
      <c r="E61" s="13">
        <v>46141</v>
      </c>
      <c r="F61" s="4">
        <f>_xlfn.DAYS(Tabla1[[#This Row],[Fecha de inicio de la tarea]],Tabla1[[#This Row],[Fecha de finalizacion de la tarea]])*-1</f>
        <v>0</v>
      </c>
    </row>
    <row r="62" spans="1:6" x14ac:dyDescent="0.25">
      <c r="A62" s="3" t="s">
        <v>125</v>
      </c>
      <c r="B62" t="s">
        <v>126</v>
      </c>
      <c r="C62" s="3" t="s">
        <v>123</v>
      </c>
      <c r="D62" s="13">
        <v>46142</v>
      </c>
      <c r="E62" s="13">
        <v>46142</v>
      </c>
      <c r="F62" s="4">
        <f>_xlfn.DAYS(Tabla1[[#This Row],[Fecha de inicio de la tarea]],Tabla1[[#This Row],[Fecha de finalizacion de la tarea]])*-1</f>
        <v>0</v>
      </c>
    </row>
    <row r="63" spans="1:6" x14ac:dyDescent="0.25">
      <c r="A63" s="3">
        <v>1.2</v>
      </c>
      <c r="B63" s="5" t="s">
        <v>127</v>
      </c>
      <c r="C63" s="3">
        <v>1.1000000000000001</v>
      </c>
      <c r="D63" s="13">
        <v>46143</v>
      </c>
      <c r="E63" s="13">
        <v>46265</v>
      </c>
      <c r="F63" s="4">
        <f>_xlfn.DAYS(Tabla1[[#This Row],[Fecha de inicio de la tarea]],Tabla1[[#This Row],[Fecha de finalizacion de la tarea]])*-1</f>
        <v>122</v>
      </c>
    </row>
    <row r="64" spans="1:6" x14ac:dyDescent="0.25">
      <c r="A64" s="3" t="s">
        <v>128</v>
      </c>
      <c r="B64" s="5" t="s">
        <v>129</v>
      </c>
      <c r="C64" s="3">
        <v>1.1000000000000001</v>
      </c>
      <c r="D64" s="13">
        <v>46143</v>
      </c>
      <c r="E64" s="13">
        <v>46150</v>
      </c>
      <c r="F64" s="4">
        <f>_xlfn.DAYS(Tabla1[[#This Row],[Fecha de inicio de la tarea]],Tabla1[[#This Row],[Fecha de finalizacion de la tarea]])*-1</f>
        <v>7</v>
      </c>
    </row>
    <row r="65" spans="1:6" x14ac:dyDescent="0.25">
      <c r="A65" s="3" t="s">
        <v>130</v>
      </c>
      <c r="B65" t="s">
        <v>131</v>
      </c>
      <c r="C65" s="3" t="s">
        <v>10</v>
      </c>
      <c r="D65" s="13">
        <v>46143</v>
      </c>
      <c r="E65" s="13">
        <v>46143</v>
      </c>
      <c r="F65" s="4">
        <f>_xlfn.DAYS(Tabla1[[#This Row],[Fecha de inicio de la tarea]],Tabla1[[#This Row],[Fecha de finalizacion de la tarea]])*-1</f>
        <v>0</v>
      </c>
    </row>
    <row r="66" spans="1:6" x14ac:dyDescent="0.25">
      <c r="A66" s="3" t="s">
        <v>132</v>
      </c>
      <c r="B66" t="s">
        <v>133</v>
      </c>
      <c r="C66" s="3" t="s">
        <v>130</v>
      </c>
      <c r="D66" s="13">
        <v>46144</v>
      </c>
      <c r="E66" s="13">
        <v>46145</v>
      </c>
      <c r="F66" s="4">
        <f>_xlfn.DAYS(Tabla1[[#This Row],[Fecha de inicio de la tarea]],Tabla1[[#This Row],[Fecha de finalizacion de la tarea]])*-1</f>
        <v>1</v>
      </c>
    </row>
    <row r="67" spans="1:6" x14ac:dyDescent="0.25">
      <c r="A67" s="3" t="s">
        <v>134</v>
      </c>
      <c r="B67" t="s">
        <v>135</v>
      </c>
      <c r="C67" s="3" t="s">
        <v>132</v>
      </c>
      <c r="D67" s="13">
        <v>46146</v>
      </c>
      <c r="E67" s="13">
        <v>46146</v>
      </c>
      <c r="F67" s="4">
        <f>_xlfn.DAYS(Tabla1[[#This Row],[Fecha de inicio de la tarea]],Tabla1[[#This Row],[Fecha de finalizacion de la tarea]])*-1</f>
        <v>0</v>
      </c>
    </row>
    <row r="68" spans="1:6" x14ac:dyDescent="0.25">
      <c r="A68" s="3" t="s">
        <v>136</v>
      </c>
      <c r="B68" t="s">
        <v>137</v>
      </c>
      <c r="C68" s="3" t="s">
        <v>132</v>
      </c>
      <c r="D68" s="13">
        <v>46147</v>
      </c>
      <c r="E68" s="13">
        <v>46148</v>
      </c>
      <c r="F68" s="4">
        <f>_xlfn.DAYS(Tabla1[[#This Row],[Fecha de inicio de la tarea]],Tabla1[[#This Row],[Fecha de finalizacion de la tarea]])*-1</f>
        <v>1</v>
      </c>
    </row>
    <row r="69" spans="1:6" x14ac:dyDescent="0.25">
      <c r="A69" s="3" t="s">
        <v>138</v>
      </c>
      <c r="B69" t="s">
        <v>139</v>
      </c>
      <c r="C69" s="3" t="s">
        <v>132</v>
      </c>
      <c r="D69" s="13">
        <v>46149</v>
      </c>
      <c r="E69" s="13">
        <v>46149</v>
      </c>
      <c r="F69" s="4">
        <f>_xlfn.DAYS(Tabla1[[#This Row],[Fecha de inicio de la tarea]],Tabla1[[#This Row],[Fecha de finalizacion de la tarea]])*-1</f>
        <v>0</v>
      </c>
    </row>
    <row r="70" spans="1:6" x14ac:dyDescent="0.25">
      <c r="A70" s="3" t="s">
        <v>140</v>
      </c>
      <c r="B70" t="s">
        <v>141</v>
      </c>
      <c r="C70" s="3" t="s">
        <v>138</v>
      </c>
      <c r="D70" s="13">
        <v>46150</v>
      </c>
      <c r="E70" s="13">
        <v>46150</v>
      </c>
      <c r="F70" s="4">
        <f>_xlfn.DAYS(Tabla1[[#This Row],[Fecha de inicio de la tarea]],Tabla1[[#This Row],[Fecha de finalizacion de la tarea]])*-1</f>
        <v>0</v>
      </c>
    </row>
    <row r="71" spans="1:6" x14ac:dyDescent="0.25">
      <c r="A71" s="3" t="s">
        <v>142</v>
      </c>
      <c r="B71" s="5" t="s">
        <v>143</v>
      </c>
      <c r="C71" s="3" t="s">
        <v>140</v>
      </c>
      <c r="D71" s="13">
        <v>46153</v>
      </c>
      <c r="E71" s="13">
        <v>46164</v>
      </c>
      <c r="F71" s="4">
        <f>_xlfn.DAYS(Tabla1[[#This Row],[Fecha de inicio de la tarea]],Tabla1[[#This Row],[Fecha de finalizacion de la tarea]])*-1</f>
        <v>11</v>
      </c>
    </row>
    <row r="72" spans="1:6" x14ac:dyDescent="0.25">
      <c r="A72" s="3" t="s">
        <v>144</v>
      </c>
      <c r="B72" t="s">
        <v>145</v>
      </c>
      <c r="C72" s="3" t="s">
        <v>10</v>
      </c>
      <c r="D72" s="13">
        <v>46153</v>
      </c>
      <c r="E72" s="13">
        <v>46153</v>
      </c>
      <c r="F72" s="4">
        <f>_xlfn.DAYS(Tabla1[[#This Row],[Fecha de inicio de la tarea]],Tabla1[[#This Row],[Fecha de finalizacion de la tarea]])*-1</f>
        <v>0</v>
      </c>
    </row>
    <row r="73" spans="1:6" x14ac:dyDescent="0.25">
      <c r="A73" s="3" t="s">
        <v>146</v>
      </c>
      <c r="B73" t="s">
        <v>147</v>
      </c>
      <c r="C73" s="3" t="s">
        <v>144</v>
      </c>
      <c r="D73" s="13">
        <v>46154</v>
      </c>
      <c r="E73" s="13">
        <v>46154</v>
      </c>
      <c r="F73" s="4">
        <f>_xlfn.DAYS(Tabla1[[#This Row],[Fecha de inicio de la tarea]],Tabla1[[#This Row],[Fecha de finalizacion de la tarea]])*-1</f>
        <v>0</v>
      </c>
    </row>
    <row r="74" spans="1:6" x14ac:dyDescent="0.25">
      <c r="A74" s="3" t="s">
        <v>148</v>
      </c>
      <c r="B74" t="s">
        <v>149</v>
      </c>
      <c r="C74" s="3" t="s">
        <v>146</v>
      </c>
      <c r="D74" s="13">
        <v>46155</v>
      </c>
      <c r="E74" s="13">
        <v>46155</v>
      </c>
      <c r="F74" s="4">
        <f>_xlfn.DAYS(Tabla1[[#This Row],[Fecha de inicio de la tarea]],Tabla1[[#This Row],[Fecha de finalizacion de la tarea]])*-1</f>
        <v>0</v>
      </c>
    </row>
    <row r="75" spans="1:6" x14ac:dyDescent="0.25">
      <c r="A75" s="3" t="s">
        <v>150</v>
      </c>
      <c r="B75" t="s">
        <v>151</v>
      </c>
      <c r="C75" s="3" t="s">
        <v>148</v>
      </c>
      <c r="D75" s="13">
        <v>46156</v>
      </c>
      <c r="E75" s="13">
        <v>46156</v>
      </c>
      <c r="F75" s="4">
        <f>_xlfn.DAYS(Tabla1[[#This Row],[Fecha de inicio de la tarea]],Tabla1[[#This Row],[Fecha de finalizacion de la tarea]])*-1</f>
        <v>0</v>
      </c>
    </row>
    <row r="76" spans="1:6" x14ac:dyDescent="0.25">
      <c r="A76" s="3" t="s">
        <v>152</v>
      </c>
      <c r="B76" t="s">
        <v>153</v>
      </c>
      <c r="C76" s="3" t="s">
        <v>144</v>
      </c>
      <c r="D76" s="13">
        <v>46157</v>
      </c>
      <c r="E76" s="13">
        <v>46157</v>
      </c>
      <c r="F76" s="4">
        <f>_xlfn.DAYS(Tabla1[[#This Row],[Fecha de inicio de la tarea]],Tabla1[[#This Row],[Fecha de finalizacion de la tarea]])*-1</f>
        <v>0</v>
      </c>
    </row>
    <row r="77" spans="1:6" x14ac:dyDescent="0.25">
      <c r="A77" s="3" t="s">
        <v>154</v>
      </c>
      <c r="B77" t="s">
        <v>155</v>
      </c>
      <c r="C77" s="3" t="s">
        <v>152</v>
      </c>
      <c r="D77" s="13">
        <v>46160</v>
      </c>
      <c r="E77" s="13">
        <v>46160</v>
      </c>
      <c r="F77" s="4">
        <f>_xlfn.DAYS(Tabla1[[#This Row],[Fecha de inicio de la tarea]],Tabla1[[#This Row],[Fecha de finalizacion de la tarea]])*-1</f>
        <v>0</v>
      </c>
    </row>
    <row r="78" spans="1:6" x14ac:dyDescent="0.25">
      <c r="A78" s="3" t="s">
        <v>156</v>
      </c>
      <c r="B78" t="s">
        <v>157</v>
      </c>
      <c r="C78" s="3" t="s">
        <v>154</v>
      </c>
      <c r="D78" s="13">
        <v>46161</v>
      </c>
      <c r="E78" s="13">
        <v>46161</v>
      </c>
      <c r="F78" s="4">
        <f>_xlfn.DAYS(Tabla1[[#This Row],[Fecha de inicio de la tarea]],Tabla1[[#This Row],[Fecha de finalizacion de la tarea]])*-1</f>
        <v>0</v>
      </c>
    </row>
    <row r="79" spans="1:6" x14ac:dyDescent="0.25">
      <c r="A79" s="3" t="s">
        <v>158</v>
      </c>
      <c r="B79" t="s">
        <v>159</v>
      </c>
      <c r="C79" s="3" t="s">
        <v>156</v>
      </c>
      <c r="D79" s="13">
        <v>46162</v>
      </c>
      <c r="E79" s="13">
        <v>46162</v>
      </c>
      <c r="F79" s="4">
        <f>_xlfn.DAYS(Tabla1[[#This Row],[Fecha de inicio de la tarea]],Tabla1[[#This Row],[Fecha de finalizacion de la tarea]])*-1</f>
        <v>0</v>
      </c>
    </row>
    <row r="80" spans="1:6" x14ac:dyDescent="0.25">
      <c r="A80" s="3" t="s">
        <v>160</v>
      </c>
      <c r="B80" t="s">
        <v>161</v>
      </c>
      <c r="C80" s="3" t="s">
        <v>158</v>
      </c>
      <c r="D80" s="13">
        <v>46163</v>
      </c>
      <c r="E80" s="13">
        <v>46163</v>
      </c>
      <c r="F80" s="4">
        <f>_xlfn.DAYS(Tabla1[[#This Row],[Fecha de inicio de la tarea]],Tabla1[[#This Row],[Fecha de finalizacion de la tarea]])*-1</f>
        <v>0</v>
      </c>
    </row>
    <row r="81" spans="1:6" x14ac:dyDescent="0.25">
      <c r="A81" s="3" t="s">
        <v>162</v>
      </c>
      <c r="B81" t="s">
        <v>163</v>
      </c>
      <c r="C81" s="3" t="s">
        <v>154</v>
      </c>
      <c r="D81" s="13">
        <v>46164</v>
      </c>
      <c r="E81" s="13">
        <v>46164</v>
      </c>
      <c r="F81" s="4">
        <f>_xlfn.DAYS(Tabla1[[#This Row],[Fecha de inicio de la tarea]],Tabla1[[#This Row],[Fecha de finalizacion de la tarea]])*-1</f>
        <v>0</v>
      </c>
    </row>
    <row r="82" spans="1:6" x14ac:dyDescent="0.25">
      <c r="A82" s="3" t="s">
        <v>164</v>
      </c>
      <c r="B82" s="5" t="s">
        <v>165</v>
      </c>
      <c r="C82" s="3" t="s">
        <v>142</v>
      </c>
      <c r="D82" s="13">
        <v>46167</v>
      </c>
      <c r="E82" s="13">
        <v>46178</v>
      </c>
      <c r="F82" s="4">
        <f>_xlfn.DAYS(Tabla1[[#This Row],[Fecha de inicio de la tarea]],Tabla1[[#This Row],[Fecha de finalizacion de la tarea]])*-1</f>
        <v>11</v>
      </c>
    </row>
    <row r="83" spans="1:6" x14ac:dyDescent="0.25">
      <c r="A83" s="3" t="s">
        <v>166</v>
      </c>
      <c r="B83" t="s">
        <v>167</v>
      </c>
      <c r="C83" s="3" t="s">
        <v>10</v>
      </c>
      <c r="D83" s="13">
        <v>46167</v>
      </c>
      <c r="E83" s="13">
        <v>46167</v>
      </c>
      <c r="F83" s="4">
        <f>_xlfn.DAYS(Tabla1[[#This Row],[Fecha de inicio de la tarea]],Tabla1[[#This Row],[Fecha de finalizacion de la tarea]])*-1</f>
        <v>0</v>
      </c>
    </row>
    <row r="84" spans="1:6" x14ac:dyDescent="0.25">
      <c r="A84" s="3" t="s">
        <v>168</v>
      </c>
      <c r="B84" t="s">
        <v>169</v>
      </c>
      <c r="C84" s="3" t="s">
        <v>166</v>
      </c>
      <c r="D84" s="13">
        <v>46168</v>
      </c>
      <c r="E84" s="13">
        <v>46169</v>
      </c>
      <c r="F84" s="4">
        <f>_xlfn.DAYS(Tabla1[[#This Row],[Fecha de inicio de la tarea]],Tabla1[[#This Row],[Fecha de finalizacion de la tarea]])*-1</f>
        <v>1</v>
      </c>
    </row>
    <row r="85" spans="1:6" x14ac:dyDescent="0.25">
      <c r="A85" s="3" t="s">
        <v>170</v>
      </c>
      <c r="B85" t="s">
        <v>171</v>
      </c>
      <c r="C85" s="3" t="s">
        <v>168</v>
      </c>
      <c r="D85" s="13">
        <v>46170</v>
      </c>
      <c r="E85" s="13">
        <v>46170</v>
      </c>
      <c r="F85" s="4">
        <f>_xlfn.DAYS(Tabla1[[#This Row],[Fecha de inicio de la tarea]],Tabla1[[#This Row],[Fecha de finalizacion de la tarea]])*-1</f>
        <v>0</v>
      </c>
    </row>
    <row r="86" spans="1:6" x14ac:dyDescent="0.25">
      <c r="A86" s="3" t="s">
        <v>172</v>
      </c>
      <c r="B86" t="s">
        <v>173</v>
      </c>
      <c r="C86" s="3" t="s">
        <v>168</v>
      </c>
      <c r="D86" s="13">
        <v>46171</v>
      </c>
      <c r="E86" s="13">
        <v>46171</v>
      </c>
      <c r="F86" s="4">
        <f>_xlfn.DAYS(Tabla1[[#This Row],[Fecha de inicio de la tarea]],Tabla1[[#This Row],[Fecha de finalizacion de la tarea]])*-1</f>
        <v>0</v>
      </c>
    </row>
    <row r="87" spans="1:6" x14ac:dyDescent="0.25">
      <c r="A87" s="3" t="s">
        <v>174</v>
      </c>
      <c r="B87" t="s">
        <v>175</v>
      </c>
      <c r="C87" s="3" t="s">
        <v>170</v>
      </c>
      <c r="D87" s="13">
        <v>46174</v>
      </c>
      <c r="E87" s="13">
        <v>46174</v>
      </c>
      <c r="F87" s="4">
        <f>_xlfn.DAYS(Tabla1[[#This Row],[Fecha de inicio de la tarea]],Tabla1[[#This Row],[Fecha de finalizacion de la tarea]])*-1</f>
        <v>0</v>
      </c>
    </row>
    <row r="88" spans="1:6" x14ac:dyDescent="0.25">
      <c r="A88" s="3" t="s">
        <v>176</v>
      </c>
      <c r="B88" t="s">
        <v>177</v>
      </c>
      <c r="C88" s="3" t="s">
        <v>174</v>
      </c>
      <c r="D88" s="13">
        <v>46175</v>
      </c>
      <c r="E88" s="13">
        <v>46178</v>
      </c>
      <c r="F88" s="4">
        <f>_xlfn.DAYS(Tabla1[[#This Row],[Fecha de inicio de la tarea]],Tabla1[[#This Row],[Fecha de finalizacion de la tarea]])*-1</f>
        <v>3</v>
      </c>
    </row>
    <row r="89" spans="1:6" x14ac:dyDescent="0.25">
      <c r="A89" s="3" t="s">
        <v>178</v>
      </c>
      <c r="B89" s="5" t="s">
        <v>179</v>
      </c>
      <c r="C89" s="3" t="s">
        <v>164</v>
      </c>
      <c r="D89" s="13">
        <v>46181</v>
      </c>
      <c r="E89" s="13">
        <v>46213</v>
      </c>
      <c r="F89" s="4">
        <f>_xlfn.DAYS(Tabla1[[#This Row],[Fecha de inicio de la tarea]],Tabla1[[#This Row],[Fecha de finalizacion de la tarea]])*-1</f>
        <v>32</v>
      </c>
    </row>
    <row r="90" spans="1:6" x14ac:dyDescent="0.25">
      <c r="A90" s="3" t="s">
        <v>180</v>
      </c>
      <c r="B90" t="s">
        <v>181</v>
      </c>
      <c r="C90" s="3" t="s">
        <v>10</v>
      </c>
      <c r="D90" s="13">
        <v>46181</v>
      </c>
      <c r="E90" s="13">
        <v>46192</v>
      </c>
      <c r="F90" s="4">
        <f>_xlfn.DAYS(Tabla1[[#This Row],[Fecha de inicio de la tarea]],Tabla1[[#This Row],[Fecha de finalizacion de la tarea]])*-1</f>
        <v>11</v>
      </c>
    </row>
    <row r="91" spans="1:6" x14ac:dyDescent="0.25">
      <c r="A91" s="3" t="s">
        <v>182</v>
      </c>
      <c r="B91" t="s">
        <v>183</v>
      </c>
      <c r="C91" s="3" t="s">
        <v>180</v>
      </c>
      <c r="D91" s="13">
        <v>46195</v>
      </c>
      <c r="E91" s="13">
        <v>46199</v>
      </c>
      <c r="F91" s="4">
        <f>_xlfn.DAYS(Tabla1[[#This Row],[Fecha de inicio de la tarea]],Tabla1[[#This Row],[Fecha de finalizacion de la tarea]])*-1</f>
        <v>4</v>
      </c>
    </row>
    <row r="92" spans="1:6" x14ac:dyDescent="0.25">
      <c r="A92" s="3" t="s">
        <v>184</v>
      </c>
      <c r="B92" t="s">
        <v>185</v>
      </c>
      <c r="C92" s="3" t="s">
        <v>182</v>
      </c>
      <c r="D92" s="13">
        <v>46202</v>
      </c>
      <c r="E92" s="13">
        <v>46206</v>
      </c>
      <c r="F92" s="4">
        <f>_xlfn.DAYS(Tabla1[[#This Row],[Fecha de inicio de la tarea]],Tabla1[[#This Row],[Fecha de finalizacion de la tarea]])*-1</f>
        <v>4</v>
      </c>
    </row>
    <row r="93" spans="1:6" x14ac:dyDescent="0.25">
      <c r="A93" s="3" t="s">
        <v>186</v>
      </c>
      <c r="B93" t="s">
        <v>187</v>
      </c>
      <c r="C93" s="3" t="s">
        <v>184</v>
      </c>
      <c r="D93" s="13">
        <v>46209</v>
      </c>
      <c r="E93" s="13">
        <v>46211</v>
      </c>
      <c r="F93" s="4">
        <f>_xlfn.DAYS(Tabla1[[#This Row],[Fecha de inicio de la tarea]],Tabla1[[#This Row],[Fecha de finalizacion de la tarea]])*-1</f>
        <v>2</v>
      </c>
    </row>
    <row r="94" spans="1:6" x14ac:dyDescent="0.25">
      <c r="A94" s="3" t="s">
        <v>188</v>
      </c>
      <c r="B94" t="s">
        <v>189</v>
      </c>
      <c r="C94" s="3" t="s">
        <v>186</v>
      </c>
      <c r="D94" s="13">
        <v>46212</v>
      </c>
      <c r="E94" s="13">
        <v>46213</v>
      </c>
      <c r="F94" s="4">
        <f>_xlfn.DAYS(Tabla1[[#This Row],[Fecha de inicio de la tarea]],Tabla1[[#This Row],[Fecha de finalizacion de la tarea]])*-1</f>
        <v>1</v>
      </c>
    </row>
    <row r="95" spans="1:6" x14ac:dyDescent="0.25">
      <c r="A95" s="3" t="s">
        <v>190</v>
      </c>
      <c r="B95" s="5" t="s">
        <v>191</v>
      </c>
      <c r="C95" s="3" t="s">
        <v>188</v>
      </c>
      <c r="D95" s="13">
        <v>46216</v>
      </c>
      <c r="E95" s="13">
        <v>46227</v>
      </c>
      <c r="F95" s="4">
        <f>_xlfn.DAYS(Tabla1[[#This Row],[Fecha de inicio de la tarea]],Tabla1[[#This Row],[Fecha de finalizacion de la tarea]])*-1</f>
        <v>11</v>
      </c>
    </row>
    <row r="96" spans="1:6" x14ac:dyDescent="0.25">
      <c r="A96" s="3" t="s">
        <v>192</v>
      </c>
      <c r="B96" t="s">
        <v>193</v>
      </c>
      <c r="C96" s="3" t="s">
        <v>10</v>
      </c>
      <c r="D96" s="13">
        <v>46216</v>
      </c>
      <c r="E96" s="13">
        <v>46218</v>
      </c>
      <c r="F96" s="4">
        <f>_xlfn.DAYS(Tabla1[[#This Row],[Fecha de inicio de la tarea]],Tabla1[[#This Row],[Fecha de finalizacion de la tarea]])*-1</f>
        <v>2</v>
      </c>
    </row>
    <row r="97" spans="1:6" x14ac:dyDescent="0.25">
      <c r="A97" s="3" t="s">
        <v>194</v>
      </c>
      <c r="B97" t="s">
        <v>195</v>
      </c>
      <c r="C97" s="3" t="s">
        <v>192</v>
      </c>
      <c r="D97" s="13">
        <v>46219</v>
      </c>
      <c r="E97" s="13">
        <v>46220</v>
      </c>
      <c r="F97" s="4">
        <f>_xlfn.DAYS(Tabla1[[#This Row],[Fecha de inicio de la tarea]],Tabla1[[#This Row],[Fecha de finalizacion de la tarea]])*-1</f>
        <v>1</v>
      </c>
    </row>
    <row r="98" spans="1:6" x14ac:dyDescent="0.25">
      <c r="A98" s="3" t="s">
        <v>196</v>
      </c>
      <c r="B98" t="s">
        <v>197</v>
      </c>
      <c r="C98" s="3" t="s">
        <v>194</v>
      </c>
      <c r="D98" s="13">
        <v>46223</v>
      </c>
      <c r="E98" s="13">
        <v>46224</v>
      </c>
      <c r="F98" s="4">
        <f>_xlfn.DAYS(Tabla1[[#This Row],[Fecha de inicio de la tarea]],Tabla1[[#This Row],[Fecha de finalizacion de la tarea]])*-1</f>
        <v>1</v>
      </c>
    </row>
    <row r="99" spans="1:6" x14ac:dyDescent="0.25">
      <c r="A99" s="3" t="s">
        <v>198</v>
      </c>
      <c r="B99" t="s">
        <v>199</v>
      </c>
      <c r="C99" s="3" t="s">
        <v>196</v>
      </c>
      <c r="D99" s="13">
        <v>46225</v>
      </c>
      <c r="E99" s="13">
        <v>46226</v>
      </c>
      <c r="F99" s="4">
        <f>_xlfn.DAYS(Tabla1[[#This Row],[Fecha de inicio de la tarea]],Tabla1[[#This Row],[Fecha de finalizacion de la tarea]])*-1</f>
        <v>1</v>
      </c>
    </row>
    <row r="100" spans="1:6" x14ac:dyDescent="0.25">
      <c r="A100" s="3" t="s">
        <v>200</v>
      </c>
      <c r="B100" t="s">
        <v>201</v>
      </c>
      <c r="C100" s="3" t="s">
        <v>198</v>
      </c>
      <c r="D100" s="13">
        <v>46227</v>
      </c>
      <c r="E100" s="13">
        <v>46227</v>
      </c>
      <c r="F100" s="4">
        <f>_xlfn.DAYS(Tabla1[[#This Row],[Fecha de inicio de la tarea]],Tabla1[[#This Row],[Fecha de finalizacion de la tarea]])*-1</f>
        <v>0</v>
      </c>
    </row>
    <row r="101" spans="1:6" x14ac:dyDescent="0.25">
      <c r="A101" s="3" t="s">
        <v>202</v>
      </c>
      <c r="B101" s="5" t="s">
        <v>203</v>
      </c>
      <c r="C101" s="3" t="s">
        <v>188</v>
      </c>
      <c r="D101" s="13">
        <v>46230</v>
      </c>
      <c r="E101" s="13">
        <v>46241</v>
      </c>
      <c r="F101" s="4">
        <f>_xlfn.DAYS(Tabla1[[#This Row],[Fecha de inicio de la tarea]],Tabla1[[#This Row],[Fecha de finalizacion de la tarea]])*-1</f>
        <v>11</v>
      </c>
    </row>
    <row r="102" spans="1:6" x14ac:dyDescent="0.25">
      <c r="A102" s="3" t="s">
        <v>204</v>
      </c>
      <c r="B102" t="s">
        <v>205</v>
      </c>
      <c r="C102" s="3" t="s">
        <v>10</v>
      </c>
      <c r="D102" s="13">
        <v>46230</v>
      </c>
      <c r="E102" s="13">
        <v>46232</v>
      </c>
      <c r="F102" s="4">
        <f>_xlfn.DAYS(Tabla1[[#This Row],[Fecha de inicio de la tarea]],Tabla1[[#This Row],[Fecha de finalizacion de la tarea]])*-1</f>
        <v>2</v>
      </c>
    </row>
    <row r="103" spans="1:6" x14ac:dyDescent="0.25">
      <c r="A103" s="3" t="s">
        <v>206</v>
      </c>
      <c r="B103" t="s">
        <v>207</v>
      </c>
      <c r="C103" s="3" t="s">
        <v>204</v>
      </c>
      <c r="D103" s="13">
        <v>46233</v>
      </c>
      <c r="E103" s="13">
        <v>46234</v>
      </c>
      <c r="F103" s="4">
        <f>_xlfn.DAYS(Tabla1[[#This Row],[Fecha de inicio de la tarea]],Tabla1[[#This Row],[Fecha de finalizacion de la tarea]])*-1</f>
        <v>1</v>
      </c>
    </row>
    <row r="104" spans="1:6" x14ac:dyDescent="0.25">
      <c r="A104" s="3" t="s">
        <v>208</v>
      </c>
      <c r="B104" t="s">
        <v>209</v>
      </c>
      <c r="C104" s="3" t="s">
        <v>206</v>
      </c>
      <c r="D104" s="13">
        <v>46237</v>
      </c>
      <c r="E104" s="13">
        <v>46238</v>
      </c>
      <c r="F104" s="4">
        <f>_xlfn.DAYS(Tabla1[[#This Row],[Fecha de inicio de la tarea]],Tabla1[[#This Row],[Fecha de finalizacion de la tarea]])*-1</f>
        <v>1</v>
      </c>
    </row>
    <row r="105" spans="1:6" x14ac:dyDescent="0.25">
      <c r="A105" s="3" t="s">
        <v>210</v>
      </c>
      <c r="B105" t="s">
        <v>211</v>
      </c>
      <c r="C105" s="3" t="s">
        <v>208</v>
      </c>
      <c r="D105" s="13">
        <v>46239</v>
      </c>
      <c r="E105" s="13">
        <v>46240</v>
      </c>
      <c r="F105" s="4">
        <f>_xlfn.DAYS(Tabla1[[#This Row],[Fecha de inicio de la tarea]],Tabla1[[#This Row],[Fecha de finalizacion de la tarea]])*-1</f>
        <v>1</v>
      </c>
    </row>
    <row r="106" spans="1:6" x14ac:dyDescent="0.25">
      <c r="A106" s="3" t="s">
        <v>212</v>
      </c>
      <c r="B106" t="s">
        <v>213</v>
      </c>
      <c r="C106" s="3" t="s">
        <v>210</v>
      </c>
      <c r="D106" s="13">
        <v>46241</v>
      </c>
      <c r="E106" s="13">
        <v>46241</v>
      </c>
      <c r="F106" s="4">
        <f>_xlfn.DAYS(Tabla1[[#This Row],[Fecha de inicio de la tarea]],Tabla1[[#This Row],[Fecha de finalizacion de la tarea]])*-1</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49E0-C980-4A1A-8B34-9E81879B4E13}">
  <dimension ref="A1:A9"/>
  <sheetViews>
    <sheetView zoomScale="117" workbookViewId="0">
      <selection activeCell="A11" sqref="A11"/>
    </sheetView>
  </sheetViews>
  <sheetFormatPr baseColWidth="10" defaultRowHeight="15" x14ac:dyDescent="0.25"/>
  <sheetData>
    <row r="1" spans="1:1" x14ac:dyDescent="0.25">
      <c r="A1" t="s">
        <v>309</v>
      </c>
    </row>
    <row r="2" spans="1:1" x14ac:dyDescent="0.25">
      <c r="A2" t="s">
        <v>310</v>
      </c>
    </row>
    <row r="4" spans="1:1" x14ac:dyDescent="0.25">
      <c r="A4" t="s">
        <v>311</v>
      </c>
    </row>
    <row r="5" spans="1:1" x14ac:dyDescent="0.25">
      <c r="A5" t="s">
        <v>312</v>
      </c>
    </row>
    <row r="7" spans="1:1" x14ac:dyDescent="0.25">
      <c r="A7" t="s">
        <v>314</v>
      </c>
    </row>
    <row r="8" spans="1:1" x14ac:dyDescent="0.25">
      <c r="A8" t="s">
        <v>313</v>
      </c>
    </row>
    <row r="9" spans="1:1" x14ac:dyDescent="0.25">
      <c r="A9" t="s">
        <v>315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6EC89-3DDF-4FC1-AA47-A31917F8F725}">
  <dimension ref="A1:J26"/>
  <sheetViews>
    <sheetView zoomScale="109" workbookViewId="0">
      <selection activeCell="I5" sqref="I5"/>
    </sheetView>
  </sheetViews>
  <sheetFormatPr baseColWidth="10" defaultRowHeight="15" x14ac:dyDescent="0.25"/>
  <cols>
    <col min="1" max="1" width="20.5703125" customWidth="1"/>
    <col min="2" max="2" width="20.28515625" customWidth="1"/>
    <col min="3" max="3" width="23.28515625" customWidth="1"/>
    <col min="4" max="4" width="18.28515625" customWidth="1"/>
    <col min="5" max="5" width="14.28515625" customWidth="1"/>
    <col min="6" max="6" width="21.140625" bestFit="1" customWidth="1"/>
    <col min="8" max="8" width="14.28515625" customWidth="1"/>
  </cols>
  <sheetData>
    <row r="1" spans="1:10" x14ac:dyDescent="0.25">
      <c r="A1" t="s">
        <v>257</v>
      </c>
    </row>
    <row r="2" spans="1:10" x14ac:dyDescent="0.25">
      <c r="A2" t="s">
        <v>262</v>
      </c>
      <c r="D2" t="s">
        <v>263</v>
      </c>
      <c r="G2" t="s">
        <v>264</v>
      </c>
    </row>
    <row r="4" spans="1:10" x14ac:dyDescent="0.25">
      <c r="A4" s="15" t="s">
        <v>265</v>
      </c>
      <c r="B4" s="15" t="s">
        <v>266</v>
      </c>
      <c r="C4" s="15" t="s">
        <v>267</v>
      </c>
      <c r="D4" s="15" t="s">
        <v>268</v>
      </c>
      <c r="E4" s="15" t="s">
        <v>269</v>
      </c>
      <c r="F4" s="15" t="s">
        <v>270</v>
      </c>
      <c r="H4" t="s">
        <v>306</v>
      </c>
      <c r="J4" t="s">
        <v>258</v>
      </c>
    </row>
    <row r="5" spans="1:10" ht="50.25" customHeight="1" x14ac:dyDescent="0.25">
      <c r="A5" s="12">
        <v>1</v>
      </c>
      <c r="B5" s="12" t="s">
        <v>271</v>
      </c>
      <c r="C5" s="12" t="s">
        <v>272</v>
      </c>
      <c r="D5" s="19">
        <v>49999</v>
      </c>
      <c r="E5" s="17" t="s">
        <v>291</v>
      </c>
      <c r="F5" s="12"/>
      <c r="H5" s="20">
        <f>Tabla5[[#This Row],[Sueldo Mensual]]*Tabla5[[#This Row],[Num. Persona(s)]]*6</f>
        <v>299994</v>
      </c>
      <c r="J5" t="s">
        <v>259</v>
      </c>
    </row>
    <row r="6" spans="1:10" ht="36" customHeight="1" x14ac:dyDescent="0.25">
      <c r="A6" s="12">
        <v>1</v>
      </c>
      <c r="B6" s="12" t="s">
        <v>273</v>
      </c>
      <c r="C6" s="12" t="s">
        <v>274</v>
      </c>
      <c r="D6" s="19">
        <v>64113</v>
      </c>
      <c r="E6" s="17" t="s">
        <v>291</v>
      </c>
      <c r="F6" s="12"/>
      <c r="H6" s="20">
        <f>Tabla5[[#This Row],[Sueldo Mensual]]*Tabla5[[#This Row],[Num. Persona(s)]]*6</f>
        <v>384678</v>
      </c>
      <c r="J6" t="s">
        <v>260</v>
      </c>
    </row>
    <row r="7" spans="1:10" ht="30" customHeight="1" x14ac:dyDescent="0.25">
      <c r="A7" s="12">
        <v>2</v>
      </c>
      <c r="B7" s="12" t="s">
        <v>302</v>
      </c>
      <c r="C7" s="12" t="s">
        <v>275</v>
      </c>
      <c r="D7" s="16">
        <v>30000</v>
      </c>
      <c r="E7" s="17" t="s">
        <v>292</v>
      </c>
      <c r="F7" s="12">
        <v>60</v>
      </c>
      <c r="H7" s="20">
        <f>(Tabla5[[#This Row],[Horas requeridas]]*Tabla5[[#This Row],[Sueldo Mensual]]/40)*Tabla5[[#This Row],[Num. Persona(s)]]</f>
        <v>90000</v>
      </c>
      <c r="J7" t="s">
        <v>261</v>
      </c>
    </row>
    <row r="8" spans="1:10" ht="21.75" customHeight="1" x14ac:dyDescent="0.25">
      <c r="A8" s="12">
        <v>1</v>
      </c>
      <c r="B8" s="12" t="s">
        <v>305</v>
      </c>
      <c r="C8" s="12" t="s">
        <v>276</v>
      </c>
      <c r="D8" s="16">
        <v>70787</v>
      </c>
      <c r="E8" s="17" t="s">
        <v>292</v>
      </c>
      <c r="F8" s="12">
        <v>60</v>
      </c>
      <c r="H8" s="20">
        <f>(Tabla5[[#This Row],[Horas requeridas]]*Tabla5[[#This Row],[Sueldo Mensual]]/40)*Tabla5[[#This Row],[Num. Persona(s)]]</f>
        <v>106180.5</v>
      </c>
    </row>
    <row r="9" spans="1:10" ht="17.25" customHeight="1" x14ac:dyDescent="0.25">
      <c r="A9" s="12">
        <v>4</v>
      </c>
      <c r="B9" s="12" t="s">
        <v>277</v>
      </c>
      <c r="C9" s="12" t="s">
        <v>278</v>
      </c>
      <c r="D9" s="16">
        <v>35000</v>
      </c>
      <c r="E9" s="17" t="s">
        <v>291</v>
      </c>
      <c r="F9" s="12"/>
      <c r="H9" s="20">
        <f>Tabla5[[#This Row],[Sueldo Mensual]]*Tabla5[[#This Row],[Num. Persona(s)]]*6</f>
        <v>840000</v>
      </c>
    </row>
    <row r="10" spans="1:10" ht="31.5" customHeight="1" x14ac:dyDescent="0.25">
      <c r="A10" s="12">
        <v>2</v>
      </c>
      <c r="B10" s="12" t="s">
        <v>279</v>
      </c>
      <c r="C10" s="12" t="s">
        <v>280</v>
      </c>
      <c r="D10" s="16">
        <v>20000</v>
      </c>
      <c r="E10" s="17" t="s">
        <v>292</v>
      </c>
      <c r="F10" s="12">
        <v>90</v>
      </c>
      <c r="H10" s="20">
        <f>(Tabla5[[#This Row],[Horas requeridas]]*Tabla5[[#This Row],[Sueldo Mensual]]/40)*Tabla5[[#This Row],[Num. Persona(s)]]</f>
        <v>90000</v>
      </c>
    </row>
    <row r="11" spans="1:10" ht="16.5" customHeight="1" x14ac:dyDescent="0.25">
      <c r="A11" s="12">
        <v>2</v>
      </c>
      <c r="B11" s="12" t="s">
        <v>281</v>
      </c>
      <c r="C11" s="12" t="s">
        <v>282</v>
      </c>
      <c r="D11" s="16">
        <v>41480</v>
      </c>
      <c r="E11" s="17" t="s">
        <v>291</v>
      </c>
      <c r="F11" s="12"/>
      <c r="H11" s="20">
        <f>Tabla5[[#This Row],[Sueldo Mensual]]*Tabla5[[#This Row],[Num. Persona(s)]]*6</f>
        <v>497760</v>
      </c>
    </row>
    <row r="12" spans="1:10" ht="21" customHeight="1" x14ac:dyDescent="0.25">
      <c r="A12" s="12">
        <v>2</v>
      </c>
      <c r="B12" s="12" t="s">
        <v>283</v>
      </c>
      <c r="C12" s="12" t="s">
        <v>284</v>
      </c>
      <c r="D12" s="16">
        <v>39524</v>
      </c>
      <c r="E12" s="17" t="s">
        <v>291</v>
      </c>
      <c r="F12" s="12"/>
      <c r="H12" s="20">
        <f>Tabla5[[#This Row],[Sueldo Mensual]]*Tabla5[[#This Row],[Num. Persona(s)]]*6</f>
        <v>474288</v>
      </c>
    </row>
    <row r="13" spans="1:10" ht="18.75" customHeight="1" x14ac:dyDescent="0.25">
      <c r="A13" s="12">
        <v>2</v>
      </c>
      <c r="B13" s="12" t="s">
        <v>285</v>
      </c>
      <c r="C13" s="12" t="s">
        <v>286</v>
      </c>
      <c r="D13" s="16">
        <v>38488</v>
      </c>
      <c r="E13" s="17" t="s">
        <v>291</v>
      </c>
      <c r="F13" s="12"/>
      <c r="H13" s="20">
        <f>Tabla5[[#This Row],[Sueldo Mensual]]*Tabla5[[#This Row],[Num. Persona(s)]]*6</f>
        <v>461856</v>
      </c>
    </row>
    <row r="14" spans="1:10" ht="18" customHeight="1" x14ac:dyDescent="0.25">
      <c r="A14" s="12">
        <v>2</v>
      </c>
      <c r="B14" s="12" t="s">
        <v>287</v>
      </c>
      <c r="C14" s="12" t="s">
        <v>288</v>
      </c>
      <c r="D14" s="16">
        <v>51358</v>
      </c>
      <c r="E14" s="17" t="s">
        <v>291</v>
      </c>
      <c r="F14" s="12"/>
      <c r="H14" s="20">
        <f>Tabla5[[#This Row],[Sueldo Mensual]]*Tabla5[[#This Row],[Num. Persona(s)]]*6</f>
        <v>616296</v>
      </c>
    </row>
    <row r="15" spans="1:10" ht="17.25" customHeight="1" x14ac:dyDescent="0.25">
      <c r="A15" s="12">
        <v>1</v>
      </c>
      <c r="B15" s="12" t="s">
        <v>289</v>
      </c>
      <c r="C15" s="12" t="s">
        <v>290</v>
      </c>
      <c r="D15" s="16">
        <v>20000</v>
      </c>
      <c r="E15" s="17" t="s">
        <v>292</v>
      </c>
      <c r="F15" s="12">
        <v>60</v>
      </c>
      <c r="H15" s="20">
        <f>(Tabla5[[#This Row],[Horas requeridas]]*Tabla5[[#This Row],[Sueldo Mensual]]/40)*Tabla5[[#This Row],[Num. Persona(s)]]</f>
        <v>30000</v>
      </c>
    </row>
    <row r="17" spans="1:5" x14ac:dyDescent="0.25">
      <c r="A17" t="s">
        <v>307</v>
      </c>
      <c r="B17">
        <f>SUM(Tabla5[Num. Persona(s)])</f>
        <v>20</v>
      </c>
      <c r="D17" t="s">
        <v>293</v>
      </c>
      <c r="E17" s="14">
        <f>SUM(H5:H15)</f>
        <v>3891052.5</v>
      </c>
    </row>
    <row r="19" spans="1:5" ht="18" x14ac:dyDescent="0.25">
      <c r="A19" s="18" t="s">
        <v>294</v>
      </c>
      <c r="C19" s="18" t="s">
        <v>297</v>
      </c>
      <c r="E19" s="18" t="s">
        <v>301</v>
      </c>
    </row>
    <row r="20" spans="1:5" x14ac:dyDescent="0.25">
      <c r="A20" s="2" t="s">
        <v>271</v>
      </c>
      <c r="C20" s="2" t="s">
        <v>298</v>
      </c>
      <c r="E20" s="2" t="s">
        <v>302</v>
      </c>
    </row>
    <row r="21" spans="1:5" x14ac:dyDescent="0.25">
      <c r="A21" s="2" t="s">
        <v>273</v>
      </c>
      <c r="C21" s="2" t="s">
        <v>300</v>
      </c>
      <c r="E21" s="2" t="s">
        <v>283</v>
      </c>
    </row>
    <row r="22" spans="1:5" x14ac:dyDescent="0.25">
      <c r="A22" s="2" t="s">
        <v>295</v>
      </c>
      <c r="E22" s="2" t="s">
        <v>303</v>
      </c>
    </row>
    <row r="23" spans="1:5" x14ac:dyDescent="0.25">
      <c r="A23" s="2" t="s">
        <v>296</v>
      </c>
      <c r="E23" s="2" t="s">
        <v>304</v>
      </c>
    </row>
    <row r="24" spans="1:5" x14ac:dyDescent="0.25">
      <c r="E24" s="2" t="s">
        <v>299</v>
      </c>
    </row>
    <row r="26" spans="1:5" x14ac:dyDescent="0.25">
      <c r="B26" t="s">
        <v>308</v>
      </c>
      <c r="D26" s="20">
        <f>AVERAGE(Tabla5[Sueldo Mensual])</f>
        <v>41886.272727272728</v>
      </c>
    </row>
  </sheetData>
  <pageMargins left="0.7" right="0.7" top="0.75" bottom="0.75" header="0.3" footer="0.3"/>
  <ignoredErrors>
    <ignoredError sqref="H9" formula="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Presentación</vt:lpstr>
      <vt:lpstr>TamañoDelSoftware</vt:lpstr>
      <vt:lpstr>Tabla</vt:lpstr>
      <vt:lpstr>DiagramaDeGantt</vt:lpstr>
      <vt:lpstr>PersonalRequerido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HERNANDEZ HEREDIA</dc:creator>
  <cp:lastModifiedBy>KEVIN  HERNANDEZ HEREDIA</cp:lastModifiedBy>
  <dcterms:created xsi:type="dcterms:W3CDTF">2026-03-24T14:09:50Z</dcterms:created>
  <dcterms:modified xsi:type="dcterms:W3CDTF">2026-04-25T01:48:45Z</dcterms:modified>
</cp:coreProperties>
</file>