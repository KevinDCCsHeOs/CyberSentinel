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vij\Documents\Escuela\8.Octavo_Semestre\GestionDeProyectosDeSoftware\Unidad3\"/>
    </mc:Choice>
  </mc:AlternateContent>
  <xr:revisionPtr revIDLastSave="0" documentId="13_ncr:1_{74C661F8-463E-4960-BA00-3389AFE97253}" xr6:coauthVersionLast="47" xr6:coauthVersionMax="47" xr10:uidLastSave="{00000000-0000-0000-0000-000000000000}"/>
  <bookViews>
    <workbookView xWindow="-105" yWindow="0" windowWidth="14610" windowHeight="18105" xr2:uid="{00000000-000D-0000-FFFF-FFFF00000000}"/>
  </bookViews>
  <sheets>
    <sheet name="Presentación" sheetId="5" r:id="rId1"/>
    <sheet name="Configuracion" sheetId="1" r:id="rId2"/>
    <sheet name="Entrada" sheetId="2" r:id="rId3"/>
    <sheet name="Calculo" sheetId="3" r:id="rId4"/>
    <sheet name="Rol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3" i="3"/>
  <c r="B2" i="3"/>
  <c r="B4" i="3" s="1"/>
</calcChain>
</file>

<file path=xl/sharedStrings.xml><?xml version="1.0" encoding="utf-8"?>
<sst xmlns="http://schemas.openxmlformats.org/spreadsheetml/2006/main" count="42" uniqueCount="35">
  <si>
    <t>Tipo</t>
  </si>
  <si>
    <t>Personas</t>
  </si>
  <si>
    <t>Buffer</t>
  </si>
  <si>
    <t>Pequeño</t>
  </si>
  <si>
    <t>Mediano</t>
  </si>
  <si>
    <t>Grande</t>
  </si>
  <si>
    <t>Parámetro</t>
  </si>
  <si>
    <t>Valor</t>
  </si>
  <si>
    <t>Tipo de proyecto</t>
  </si>
  <si>
    <t>Duración (meses)</t>
  </si>
  <si>
    <t>Concepto</t>
  </si>
  <si>
    <t>Costo Base</t>
  </si>
  <si>
    <t>Costo Total</t>
  </si>
  <si>
    <t>Rol</t>
  </si>
  <si>
    <t>Project Manager</t>
  </si>
  <si>
    <t>Analista</t>
  </si>
  <si>
    <t>Desarrollador</t>
  </si>
  <si>
    <t>QA</t>
  </si>
  <si>
    <t>UX/UI</t>
  </si>
  <si>
    <t>DevOps</t>
  </si>
  <si>
    <t>Costo aproximado por persona (MXN)</t>
  </si>
  <si>
    <t>Product Owner</t>
  </si>
  <si>
    <t>Arquitecto de software</t>
  </si>
  <si>
    <t>Ciberseguridad</t>
  </si>
  <si>
    <t>Rentabilidad</t>
  </si>
  <si>
    <t>INSTITUTO TECNOLOGICO DE ORIZABA</t>
  </si>
  <si>
    <t>Proyecto: CyberSentinel</t>
  </si>
  <si>
    <t>MATERIA:</t>
  </si>
  <si>
    <t>Gestion de proyectos de software</t>
  </si>
  <si>
    <t>Equipo 10:</t>
  </si>
  <si>
    <t>Hernández Heredia Kevin</t>
  </si>
  <si>
    <t>Hernández Rodriguez Oscar Ariel</t>
  </si>
  <si>
    <t>Santiago Mendoza Abraham</t>
  </si>
  <si>
    <t xml:space="preserve">Docente: </t>
  </si>
  <si>
    <t>Nava Arteaga Concepcion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</si>
</sst>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57BF-4E68-4609-A214-85CD0D226911}">
  <dimension ref="A1:G16"/>
  <sheetViews>
    <sheetView tabSelected="1" workbookViewId="0">
      <selection activeCell="A17" sqref="A17"/>
    </sheetView>
  </sheetViews>
  <sheetFormatPr baseColWidth="10" defaultRowHeight="15" x14ac:dyDescent="0.25"/>
  <sheetData>
    <row r="1" spans="1:7" x14ac:dyDescent="0.25">
      <c r="A1" s="4" t="s">
        <v>25</v>
      </c>
      <c r="B1" s="4"/>
      <c r="C1" s="4"/>
      <c r="D1" s="4"/>
      <c r="E1" s="4"/>
      <c r="F1" s="4"/>
      <c r="G1" s="4"/>
    </row>
    <row r="2" spans="1:7" x14ac:dyDescent="0.25">
      <c r="A2" s="4"/>
      <c r="B2" s="4"/>
      <c r="C2" s="4"/>
      <c r="D2" s="4"/>
      <c r="E2" s="4"/>
      <c r="F2" s="4"/>
      <c r="G2" s="4"/>
    </row>
    <row r="4" spans="1:7" x14ac:dyDescent="0.25">
      <c r="A4" s="5" t="s">
        <v>26</v>
      </c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7" spans="1:7" ht="21" x14ac:dyDescent="0.35">
      <c r="A7" s="6" t="s">
        <v>27</v>
      </c>
      <c r="B7" s="7"/>
      <c r="C7" s="7"/>
      <c r="D7" s="7"/>
      <c r="E7" s="7"/>
      <c r="F7" s="7"/>
      <c r="G7" s="7"/>
    </row>
    <row r="8" spans="1:7" ht="21" x14ac:dyDescent="0.35">
      <c r="A8" s="7" t="s">
        <v>28</v>
      </c>
      <c r="B8" s="7"/>
      <c r="C8" s="7"/>
      <c r="D8" s="7"/>
      <c r="E8" s="7"/>
      <c r="F8" s="7"/>
      <c r="G8" s="7"/>
    </row>
    <row r="9" spans="1:7" ht="21" x14ac:dyDescent="0.35">
      <c r="A9" s="8"/>
      <c r="B9" s="8"/>
      <c r="C9" s="8"/>
      <c r="D9" s="8"/>
      <c r="E9" s="8"/>
      <c r="F9" s="8"/>
      <c r="G9" s="8"/>
    </row>
    <row r="10" spans="1:7" ht="21" x14ac:dyDescent="0.35">
      <c r="A10" s="6" t="s">
        <v>29</v>
      </c>
      <c r="B10" s="6"/>
      <c r="C10" s="6"/>
      <c r="D10" s="6"/>
      <c r="E10" s="6"/>
      <c r="F10" s="6"/>
      <c r="G10" s="6"/>
    </row>
    <row r="11" spans="1:7" ht="21" x14ac:dyDescent="0.35">
      <c r="A11" s="7" t="s">
        <v>30</v>
      </c>
      <c r="B11" s="7"/>
      <c r="C11" s="7"/>
      <c r="D11" s="7"/>
      <c r="E11" s="7"/>
      <c r="F11" s="7"/>
      <c r="G11" s="7"/>
    </row>
    <row r="12" spans="1:7" ht="21" x14ac:dyDescent="0.35">
      <c r="A12" s="7" t="s">
        <v>31</v>
      </c>
      <c r="B12" s="7"/>
      <c r="C12" s="7"/>
      <c r="D12" s="7"/>
      <c r="E12" s="7"/>
      <c r="F12" s="7"/>
      <c r="G12" s="7"/>
    </row>
    <row r="13" spans="1:7" ht="21" x14ac:dyDescent="0.35">
      <c r="A13" s="7" t="s">
        <v>32</v>
      </c>
      <c r="B13" s="7"/>
      <c r="C13" s="7"/>
      <c r="D13" s="7"/>
      <c r="E13" s="7"/>
      <c r="F13" s="7"/>
      <c r="G13" s="7"/>
    </row>
    <row r="14" spans="1:7" ht="21" x14ac:dyDescent="0.35">
      <c r="A14" s="8"/>
      <c r="B14" s="8"/>
      <c r="C14" s="8"/>
      <c r="D14" s="8"/>
      <c r="E14" s="8"/>
      <c r="F14" s="8"/>
      <c r="G14" s="8"/>
    </row>
    <row r="15" spans="1:7" ht="21" x14ac:dyDescent="0.35">
      <c r="A15" s="6" t="s">
        <v>33</v>
      </c>
      <c r="B15" s="6"/>
      <c r="C15" s="6"/>
      <c r="D15" s="6"/>
      <c r="E15" s="6"/>
      <c r="F15" s="6"/>
      <c r="G15" s="6"/>
    </row>
    <row r="16" spans="1:7" ht="21" x14ac:dyDescent="0.35">
      <c r="A16" s="7" t="s">
        <v>34</v>
      </c>
      <c r="B16" s="7"/>
      <c r="C16" s="7"/>
      <c r="D16" s="7"/>
      <c r="E16" s="7"/>
      <c r="F16" s="7"/>
      <c r="G16" s="7"/>
    </row>
  </sheetData>
  <mergeCells count="10">
    <mergeCell ref="A12:G12"/>
    <mergeCell ref="A13:G13"/>
    <mergeCell ref="A15:G15"/>
    <mergeCell ref="A16:G16"/>
    <mergeCell ref="A1:G2"/>
    <mergeCell ref="A4:G5"/>
    <mergeCell ref="A7:G7"/>
    <mergeCell ref="A8:G8"/>
    <mergeCell ref="A10:G10"/>
    <mergeCell ref="A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4" sqref="D4"/>
    </sheetView>
  </sheetViews>
  <sheetFormatPr baseColWidth="10" defaultColWidth="8.7109375" defaultRowHeight="15" x14ac:dyDescent="0.25"/>
  <cols>
    <col min="4" max="4" width="1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24</v>
      </c>
    </row>
    <row r="2" spans="1:4" x14ac:dyDescent="0.25">
      <c r="A2" t="s">
        <v>3</v>
      </c>
      <c r="B2">
        <v>0</v>
      </c>
      <c r="C2">
        <v>0</v>
      </c>
      <c r="D2">
        <v>0</v>
      </c>
    </row>
    <row r="3" spans="1:4" x14ac:dyDescent="0.25">
      <c r="A3" t="s">
        <v>4</v>
      </c>
      <c r="B3">
        <v>0</v>
      </c>
      <c r="C3">
        <v>0</v>
      </c>
      <c r="D3">
        <v>0</v>
      </c>
    </row>
    <row r="4" spans="1:4" x14ac:dyDescent="0.25">
      <c r="A4" t="s">
        <v>5</v>
      </c>
      <c r="B4">
        <v>20</v>
      </c>
      <c r="C4">
        <v>0.4</v>
      </c>
      <c r="D4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baseColWidth="10" defaultColWidth="8.7109375" defaultRowHeight="15" x14ac:dyDescent="0.25"/>
  <cols>
    <col min="1" max="1" width="39.140625" customWidth="1"/>
    <col min="2" max="2" width="10.1406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5</v>
      </c>
    </row>
    <row r="3" spans="1:2" x14ac:dyDescent="0.25">
      <c r="A3" t="s">
        <v>9</v>
      </c>
      <c r="B3">
        <v>6.6</v>
      </c>
    </row>
    <row r="4" spans="1:2" x14ac:dyDescent="0.25">
      <c r="A4" t="s">
        <v>20</v>
      </c>
      <c r="B4" s="2">
        <v>41886.269999999997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5" sqref="B5"/>
    </sheetView>
  </sheetViews>
  <sheetFormatPr baseColWidth="10" defaultColWidth="8.7109375" defaultRowHeight="15" x14ac:dyDescent="0.25"/>
  <cols>
    <col min="1" max="1" width="14.85546875" customWidth="1"/>
    <col min="2" max="2" width="13.7109375" bestFit="1" customWidth="1"/>
  </cols>
  <sheetData>
    <row r="1" spans="1:2" x14ac:dyDescent="0.25">
      <c r="A1" s="1" t="s">
        <v>10</v>
      </c>
      <c r="B1" s="1" t="s">
        <v>7</v>
      </c>
    </row>
    <row r="2" spans="1:2" x14ac:dyDescent="0.25">
      <c r="A2" t="s">
        <v>1</v>
      </c>
      <c r="B2">
        <f>VLOOKUP(Entrada!B2,Configuracion!A2:C4,2,FALSE)</f>
        <v>20</v>
      </c>
    </row>
    <row r="3" spans="1:2" x14ac:dyDescent="0.25">
      <c r="A3" t="s">
        <v>2</v>
      </c>
      <c r="B3">
        <f>VLOOKUP(Entrada!B2,Configuracion!A2:C4,3,FALSE)</f>
        <v>0.4</v>
      </c>
    </row>
    <row r="4" spans="1:2" x14ac:dyDescent="0.25">
      <c r="A4" t="s">
        <v>11</v>
      </c>
      <c r="B4" s="2">
        <f>Entrada!B3*Entrada!B4*B2</f>
        <v>5528987.6399999997</v>
      </c>
    </row>
    <row r="5" spans="1:2" x14ac:dyDescent="0.25">
      <c r="A5" t="s">
        <v>12</v>
      </c>
      <c r="B5" s="2">
        <f>(1+Configuracion!D4)*(B4*(1+B3))</f>
        <v>11610874.043999998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E5" sqref="E5"/>
    </sheetView>
  </sheetViews>
  <sheetFormatPr baseColWidth="10" defaultColWidth="8.7109375" defaultRowHeight="15" x14ac:dyDescent="0.25"/>
  <cols>
    <col min="1" max="1" width="14.85546875" customWidth="1"/>
  </cols>
  <sheetData>
    <row r="1" spans="1:4" x14ac:dyDescent="0.25">
      <c r="A1" s="1" t="s">
        <v>13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14</v>
      </c>
      <c r="B2">
        <v>0</v>
      </c>
      <c r="C2">
        <v>0</v>
      </c>
      <c r="D2">
        <v>1</v>
      </c>
    </row>
    <row r="3" spans="1:4" x14ac:dyDescent="0.25">
      <c r="A3" t="s">
        <v>21</v>
      </c>
      <c r="B3">
        <v>0</v>
      </c>
      <c r="C3">
        <v>0</v>
      </c>
      <c r="D3">
        <v>1</v>
      </c>
    </row>
    <row r="4" spans="1:4" x14ac:dyDescent="0.25">
      <c r="A4" t="s">
        <v>15</v>
      </c>
      <c r="B4">
        <v>0</v>
      </c>
      <c r="C4">
        <v>0</v>
      </c>
      <c r="D4">
        <v>2</v>
      </c>
    </row>
    <row r="5" spans="1:4" x14ac:dyDescent="0.25">
      <c r="A5" t="s">
        <v>16</v>
      </c>
      <c r="B5">
        <v>0</v>
      </c>
      <c r="C5">
        <v>0</v>
      </c>
      <c r="D5">
        <v>8</v>
      </c>
    </row>
    <row r="6" spans="1:4" x14ac:dyDescent="0.25">
      <c r="A6" t="s">
        <v>22</v>
      </c>
      <c r="B6">
        <v>0</v>
      </c>
      <c r="C6">
        <v>0</v>
      </c>
      <c r="D6">
        <v>1</v>
      </c>
    </row>
    <row r="7" spans="1:4" x14ac:dyDescent="0.25">
      <c r="A7" t="s">
        <v>17</v>
      </c>
      <c r="B7">
        <v>0</v>
      </c>
      <c r="C7">
        <v>0</v>
      </c>
      <c r="D7">
        <v>2</v>
      </c>
    </row>
    <row r="8" spans="1:4" x14ac:dyDescent="0.25">
      <c r="A8" t="s">
        <v>18</v>
      </c>
      <c r="B8">
        <v>0</v>
      </c>
      <c r="C8">
        <v>0</v>
      </c>
      <c r="D8">
        <v>1</v>
      </c>
    </row>
    <row r="9" spans="1:4" x14ac:dyDescent="0.25">
      <c r="A9" t="s">
        <v>19</v>
      </c>
      <c r="B9">
        <v>0</v>
      </c>
      <c r="C9">
        <v>0</v>
      </c>
      <c r="D9">
        <v>2</v>
      </c>
    </row>
    <row r="10" spans="1:4" x14ac:dyDescent="0.25">
      <c r="A10" t="s">
        <v>23</v>
      </c>
      <c r="B10">
        <v>0</v>
      </c>
      <c r="C10">
        <v>0</v>
      </c>
      <c r="D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Presentación</vt:lpstr>
      <vt:lpstr>Configuracion</vt:lpstr>
      <vt:lpstr>Entrada</vt:lpstr>
      <vt:lpstr>Calculo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 HERNANDEZ HEREDIA</cp:lastModifiedBy>
  <dcterms:created xsi:type="dcterms:W3CDTF">2026-04-16T18:48:10Z</dcterms:created>
  <dcterms:modified xsi:type="dcterms:W3CDTF">2026-04-25T01:32:59Z</dcterms:modified>
</cp:coreProperties>
</file>